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Resumen por marca" sheetId="2" state="visible" r:id="rId2"/>
    <sheet xmlns:r="http://schemas.openxmlformats.org/officeDocument/2006/relationships" name="Notas" sheetId="3" state="visible" r:id="rId3"/>
  </sheets>
  <definedNames/>
  <calcPr calcId="124519" calcMode="auto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#,##0"/>
    <numFmt numFmtId="165" formatCode="0.0%"/>
    <numFmt numFmtId="166" formatCode="0.0\x"/>
    <numFmt numFmtId="167" formatCode="&quot;US$ &quot;#,##0.00"/>
    <numFmt numFmtId="168" formatCode="\$#,##0;&quot;($&quot;#,##0\);\-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00000"/>
      <sz val="11"/>
    </font>
    <font>
      <b val="1"/>
    </font>
    <font>
      <b val="1"/>
      <color rgb="FFFFFFFF"/>
    </font>
  </fonts>
  <fills count="11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  <fill>
      <patternFill patternType="solid">
        <fgColor rgb="FFEAF0FA"/>
        <bgColor rgb="FFF2F2F2"/>
      </patternFill>
    </fill>
    <fill>
      <patternFill patternType="solid">
        <fgColor rgb="FFDDEBF7"/>
        <bgColor rgb="FFEAF0FA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AF0FA"/>
      </patternFill>
    </fill>
    <fill>
      <patternFill patternType="solid">
        <fgColor rgb="FF2E5496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5" fontId="8" fillId="4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167" fontId="11" fillId="0" borderId="1" applyAlignment="1" pivotButton="0" quotePrefix="0" xfId="0">
      <alignment horizontal="right" vertical="center"/>
    </xf>
    <xf numFmtId="168" fontId="9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center" vertical="center"/>
    </xf>
    <xf numFmtId="168" fontId="1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167" fontId="11" fillId="6" borderId="1" applyAlignment="1" pivotButton="0" quotePrefix="0" xfId="0">
      <alignment horizontal="right" vertical="center"/>
    </xf>
    <xf numFmtId="168" fontId="9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center" vertical="center"/>
    </xf>
    <xf numFmtId="168" fontId="11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5" fontId="8" fillId="4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167" fontId="11" fillId="0" borderId="1" applyAlignment="1" pivotButton="0" quotePrefix="0" xfId="0">
      <alignment horizontal="right" vertical="center"/>
    </xf>
    <xf numFmtId="168" fontId="9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center" vertical="center"/>
    </xf>
    <xf numFmtId="168" fontId="1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13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0" fontId="14" fillId="10" borderId="0" applyAlignment="1" pivotButton="0" quotePrefix="0" xfId="0">
      <alignment horizontal="center" vertical="center" wrapText="1"/>
    </xf>
    <xf numFmtId="167" fontId="0" fillId="0" borderId="0" pivotButton="0" quotePrefix="0" xfId="0"/>
    <xf numFmtId="167" fontId="13" fillId="0" borderId="0" pivotButton="0" quotePrefix="0" xfId="0"/>
    <xf numFmtId="165" fontId="13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A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9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34" customWidth="1" style="34" min="2" max="2"/>
    <col width="6" customWidth="1" style="34" min="3" max="3"/>
    <col width="12" customWidth="1" style="34" min="4" max="4"/>
    <col width="13" customWidth="1" style="34" min="5" max="5"/>
    <col width="14" customWidth="1" style="34" min="6" max="7"/>
    <col width="13" customWidth="1" style="34" min="8" max="8"/>
    <col width="10" customWidth="1" style="34" min="9" max="9"/>
    <col width="15" customWidth="1" style="34" min="10" max="10"/>
    <col width="40" customWidth="1" style="34" min="11" max="11"/>
  </cols>
  <sheetData>
    <row r="1" ht="25.5" customHeight="1" s="35">
      <c r="A1" s="36" t="inlineStr">
        <is>
          <t>MODELO DE MÁRGENES — TIENDA ONLINE DE PERFUMES</t>
        </is>
      </c>
    </row>
    <row r="2" ht="15" customHeight="1" s="35">
      <c r="A2" s="37" t="inlineStr">
        <is>
          <t>Proveedor: Star Company (Ciudad del Este, PY) · Precios de lista en USD · Costo de traída NO incluido (configurable abajo)</t>
        </is>
      </c>
    </row>
    <row r="4" ht="15" customHeight="1" s="35">
      <c r="A4" s="38" t="inlineStr">
        <is>
          <t>SUPUESTOS (editar las celdas azules)</t>
        </is>
      </c>
    </row>
    <row r="5" ht="15" customHeight="1" s="35">
      <c r="A5" s="39" t="inlineStr">
        <is>
          <t>Cotización USD → ARS</t>
        </is>
      </c>
      <c r="B5" s="40" t="n">
        <v>1300</v>
      </c>
      <c r="C5" s="41" t="inlineStr">
        <is>
          <t>Editar con el dólar real con el que se compra</t>
        </is>
      </c>
      <c r="D5" s="42" t="n"/>
      <c r="E5" s="42" t="n"/>
      <c r="F5" s="42" t="n"/>
      <c r="G5" s="42" t="n"/>
      <c r="H5" s="42" t="n"/>
      <c r="I5" s="42" t="n"/>
      <c r="J5" s="42" t="n"/>
      <c r="K5" s="43" t="n"/>
    </row>
    <row r="6" ht="15" customHeight="1" s="35">
      <c r="A6" s="39" t="inlineStr">
        <is>
          <t>Costo de traída (%)</t>
        </is>
      </c>
      <c r="B6" s="44" t="n">
        <v>0</v>
      </c>
      <c r="C6" s="41" t="inlineStr">
        <is>
          <t>En 0 por ahora (no se considera). Cambiar cuando se defina</t>
        </is>
      </c>
      <c r="D6" s="42" t="n"/>
      <c r="E6" s="42" t="n"/>
      <c r="F6" s="42" t="n"/>
      <c r="G6" s="42" t="n"/>
      <c r="H6" s="42" t="n"/>
      <c r="I6" s="42" t="n"/>
      <c r="J6" s="42" t="n"/>
      <c r="K6" s="43" t="n"/>
    </row>
    <row r="7" ht="15" customHeight="1" s="35">
      <c r="A7" s="39" t="inlineStr">
        <is>
          <t>Markup objetivo (x)</t>
        </is>
      </c>
      <c r="B7" s="45" t="n">
        <v>2.5</v>
      </c>
      <c r="C7" s="41" t="inlineStr">
        <is>
          <t>Multiplicador sobre el costo para el PVP sugerido</t>
        </is>
      </c>
      <c r="D7" s="42" t="n"/>
      <c r="E7" s="42" t="n"/>
      <c r="F7" s="42" t="n"/>
      <c r="G7" s="42" t="n"/>
      <c r="H7" s="42" t="n"/>
      <c r="I7" s="42" t="n"/>
      <c r="J7" s="42" t="n"/>
      <c r="K7" s="43" t="n"/>
    </row>
    <row r="9" ht="30" customHeight="1" s="35">
      <c r="A9" s="46" t="inlineStr">
        <is>
          <t>Marca</t>
        </is>
      </c>
      <c r="B9" s="46" t="inlineStr">
        <is>
          <t>Producto</t>
        </is>
      </c>
      <c r="C9" s="46" t="inlineStr">
        <is>
          <t>ml</t>
        </is>
      </c>
      <c r="D9" s="46" t="inlineStr">
        <is>
          <t>Categoría</t>
        </is>
      </c>
      <c r="E9" s="46" t="inlineStr">
        <is>
          <t>Costo USD
(lista)</t>
        </is>
      </c>
      <c r="F9" s="46" t="inlineStr">
        <is>
          <t>Costo ARS
(c/ traída)</t>
        </is>
      </c>
      <c r="G9" s="46" t="inlineStr">
        <is>
          <t>PVP sugerido
(ARS)</t>
        </is>
      </c>
      <c r="H9" s="46" t="inlineStr">
        <is>
          <t>Margen $
(ARS)</t>
        </is>
      </c>
      <c r="I9" s="46" t="inlineStr">
        <is>
          <t>Margen %</t>
        </is>
      </c>
      <c r="J9" s="46" t="inlineStr">
        <is>
          <t>Precio mercado
AR (ref.)</t>
        </is>
      </c>
      <c r="K9" s="46" t="inlineStr">
        <is>
          <t>Comentario</t>
        </is>
      </c>
    </row>
    <row r="10" ht="22.35" customHeight="1" s="35">
      <c r="A10" s="39" t="inlineStr">
        <is>
          <t>12 Parfumeurs Français</t>
        </is>
      </c>
      <c r="B10" s="47" t="inlineStr">
        <is>
          <t>12 PARFUMEURS FRANCAIS FONTAINEBLEAU EXDP 100ML UNISEX</t>
        </is>
      </c>
      <c r="C10" s="48" t="n">
        <v>100</v>
      </c>
      <c r="D10" s="49" t="inlineStr">
        <is>
          <t>Nicho</t>
        </is>
      </c>
      <c r="E10" s="50" t="n">
        <v>155</v>
      </c>
      <c r="F10" s="51">
        <f>E10*$B$5*(1+$B$6)</f>
        <v>201500</v>
      </c>
      <c r="G10" s="51">
        <f>F10*$B$7</f>
        <v>503750</v>
      </c>
      <c r="H10" s="51">
        <f>G10-F10</f>
        <v>302250</v>
      </c>
      <c r="I10" s="52">
        <f>H10/G10</f>
        <v>0.6</v>
      </c>
      <c r="J10" s="53" t="n"/>
      <c r="K10" s="54" t="n"/>
    </row>
    <row r="11" ht="15" customHeight="1" s="35">
      <c r="A11" s="39" t="inlineStr">
        <is>
          <t>12 Parfumeurs Français</t>
        </is>
      </c>
      <c r="B11" s="47" t="inlineStr">
        <is>
          <t>12 PARFUMEURS FRANCAIS LUXEMBOURG EXDP 100ML UNISEX</t>
        </is>
      </c>
      <c r="C11" s="48" t="n">
        <v>100</v>
      </c>
      <c r="D11" s="49" t="inlineStr">
        <is>
          <t>Nicho</t>
        </is>
      </c>
      <c r="E11" s="50" t="n">
        <v>155</v>
      </c>
      <c r="F11" s="51">
        <f>E11*$B$5*(1+$B$6)</f>
        <v>201500</v>
      </c>
      <c r="G11" s="51">
        <f>F11*$B$7</f>
        <v>503750</v>
      </c>
      <c r="H11" s="51">
        <f>G11-F11</f>
        <v>302250</v>
      </c>
      <c r="I11" s="52">
        <f>H11/G11</f>
        <v>0.6</v>
      </c>
      <c r="J11" s="53" t="n"/>
      <c r="K11" s="54" t="n"/>
    </row>
    <row r="12" ht="15" customHeight="1" s="35">
      <c r="A12" s="39" t="inlineStr">
        <is>
          <t>12 Parfumeurs Français</t>
        </is>
      </c>
      <c r="B12" s="47" t="inlineStr">
        <is>
          <t>12 PARFUMEURS FRANCAIS MADAME ROYALE EXDP 100ML UNISEX</t>
        </is>
      </c>
      <c r="C12" s="48" t="n">
        <v>100</v>
      </c>
      <c r="D12" s="49" t="inlineStr">
        <is>
          <t>Nicho</t>
        </is>
      </c>
      <c r="E12" s="50" t="n">
        <v>155</v>
      </c>
      <c r="F12" s="51">
        <f>E12*$B$5*(1+$B$6)</f>
        <v>201500</v>
      </c>
      <c r="G12" s="51">
        <f>F12*$B$7</f>
        <v>503750</v>
      </c>
      <c r="H12" s="51">
        <f>G12-F12</f>
        <v>302250</v>
      </c>
      <c r="I12" s="52">
        <f>H12/G12</f>
        <v>0.6</v>
      </c>
      <c r="J12" s="53" t="n"/>
      <c r="K12" s="54" t="n"/>
    </row>
    <row r="13" ht="15" customHeight="1" s="35">
      <c r="A13" s="39" t="inlineStr">
        <is>
          <t>12 Parfumeurs Français</t>
        </is>
      </c>
      <c r="B13" s="47" t="inlineStr">
        <is>
          <t>12 PARFUMEURS FRANCAIS MALMAISON EXDP 100ML UNISEX</t>
        </is>
      </c>
      <c r="C13" s="48" t="n">
        <v>100</v>
      </c>
      <c r="D13" s="49" t="inlineStr">
        <is>
          <t>Nicho</t>
        </is>
      </c>
      <c r="E13" s="50" t="n">
        <v>155</v>
      </c>
      <c r="F13" s="51">
        <f>E13*$B$5*(1+$B$6)</f>
        <v>201500</v>
      </c>
      <c r="G13" s="51">
        <f>F13*$B$7</f>
        <v>503750</v>
      </c>
      <c r="H13" s="51">
        <f>G13-F13</f>
        <v>302250</v>
      </c>
      <c r="I13" s="52">
        <f>H13/G13</f>
        <v>0.6</v>
      </c>
      <c r="J13" s="53" t="n"/>
      <c r="K13" s="54" t="n"/>
    </row>
    <row r="14" ht="15" customHeight="1" s="35">
      <c r="A14" s="39" t="inlineStr">
        <is>
          <t>12 Parfumeurs Français</t>
        </is>
      </c>
      <c r="B14" s="47" t="inlineStr">
        <is>
          <t>12 PARFUMEURS FRANCAIS PRAFRANCE EXDP 100ML UNISEX</t>
        </is>
      </c>
      <c r="C14" s="48" t="n">
        <v>100</v>
      </c>
      <c r="D14" s="49" t="inlineStr">
        <is>
          <t>Nicho</t>
        </is>
      </c>
      <c r="E14" s="50" t="n">
        <v>155</v>
      </c>
      <c r="F14" s="51">
        <f>E14*$B$5*(1+$B$6)</f>
        <v>201500</v>
      </c>
      <c r="G14" s="51">
        <f>F14*$B$7</f>
        <v>503750</v>
      </c>
      <c r="H14" s="51">
        <f>G14-F14</f>
        <v>302250</v>
      </c>
      <c r="I14" s="52">
        <f>H14/G14</f>
        <v>0.6</v>
      </c>
      <c r="J14" s="53" t="n"/>
      <c r="K14" s="54" t="n"/>
    </row>
    <row r="15" ht="15" customHeight="1" s="35">
      <c r="A15" s="39" t="inlineStr">
        <is>
          <t>Afnan</t>
        </is>
      </c>
      <c r="B15" s="47" t="inlineStr">
        <is>
          <t>AFNAN 9AM DIVE EDP 100ML</t>
        </is>
      </c>
      <c r="C15" s="48" t="n">
        <v>100</v>
      </c>
      <c r="D15" s="49" t="inlineStr">
        <is>
          <t>Árabe</t>
        </is>
      </c>
      <c r="E15" s="50" t="n">
        <v>22.75</v>
      </c>
      <c r="F15" s="51">
        <f>E15*$B$5*(1+$B$6)</f>
        <v>29575</v>
      </c>
      <c r="G15" s="51">
        <f>F15*$B$7</f>
        <v>73937.5</v>
      </c>
      <c r="H15" s="51">
        <f>G15-F15</f>
        <v>44362.5</v>
      </c>
      <c r="I15" s="52">
        <f>H15/G15</f>
        <v>0.6</v>
      </c>
      <c r="J15" s="53" t="n"/>
      <c r="K15" s="54" t="n"/>
    </row>
    <row r="16" ht="15" customHeight="1" s="35">
      <c r="A16" s="39" t="inlineStr">
        <is>
          <t>Afnan</t>
        </is>
      </c>
      <c r="B16" s="47" t="inlineStr">
        <is>
          <t>AFNAN 9AM DIVE EDP 150ML</t>
        </is>
      </c>
      <c r="C16" s="48" t="n">
        <v>150</v>
      </c>
      <c r="D16" s="49" t="inlineStr">
        <is>
          <t>Árabe</t>
        </is>
      </c>
      <c r="E16" s="50" t="n">
        <v>31</v>
      </c>
      <c r="F16" s="51">
        <f>E16*$B$5*(1+$B$6)</f>
        <v>40300</v>
      </c>
      <c r="G16" s="51">
        <f>F16*$B$7</f>
        <v>100750</v>
      </c>
      <c r="H16" s="51">
        <f>G16-F16</f>
        <v>60450</v>
      </c>
      <c r="I16" s="52">
        <f>H16/G16</f>
        <v>0.6</v>
      </c>
      <c r="J16" s="53" t="n"/>
      <c r="K16" s="54" t="n"/>
    </row>
    <row r="17" ht="15" customHeight="1" s="35">
      <c r="A17" s="39" t="inlineStr">
        <is>
          <t>Afnan</t>
        </is>
      </c>
      <c r="B17" s="47" t="inlineStr">
        <is>
          <t>AFNAN 9PM (BLACK) EDP 150ML MASC</t>
        </is>
      </c>
      <c r="C17" s="48" t="n">
        <v>150</v>
      </c>
      <c r="D17" s="49" t="inlineStr">
        <is>
          <t>Árabe</t>
        </is>
      </c>
      <c r="E17" s="50" t="n">
        <v>31</v>
      </c>
      <c r="F17" s="51">
        <f>E17*$B$5*(1+$B$6)</f>
        <v>40300</v>
      </c>
      <c r="G17" s="51">
        <f>F17*$B$7</f>
        <v>100750</v>
      </c>
      <c r="H17" s="51">
        <f>G17-F17</f>
        <v>60450</v>
      </c>
      <c r="I17" s="52">
        <f>H17/G17</f>
        <v>0.6</v>
      </c>
      <c r="J17" s="53" t="n"/>
      <c r="K17" s="54" t="n"/>
    </row>
    <row r="18" ht="15" customHeight="1" s="35">
      <c r="A18" s="39" t="inlineStr">
        <is>
          <t>Afnan</t>
        </is>
      </c>
      <c r="B18" s="47" t="inlineStr">
        <is>
          <t>AFNAN 9PM FEMME (PURPLE) EDP 100ML FEM</t>
        </is>
      </c>
      <c r="C18" s="48" t="n">
        <v>100</v>
      </c>
      <c r="D18" s="49" t="inlineStr">
        <is>
          <t>Árabe</t>
        </is>
      </c>
      <c r="E18" s="50" t="n">
        <v>22.25</v>
      </c>
      <c r="F18" s="51">
        <f>E18*$B$5*(1+$B$6)</f>
        <v>28925</v>
      </c>
      <c r="G18" s="51">
        <f>F18*$B$7</f>
        <v>72312.5</v>
      </c>
      <c r="H18" s="51">
        <f>G18-F18</f>
        <v>43387.5</v>
      </c>
      <c r="I18" s="52">
        <f>H18/G18</f>
        <v>0.6</v>
      </c>
      <c r="J18" s="53" t="n"/>
      <c r="K18" s="54" t="n"/>
    </row>
    <row r="19" ht="15" customHeight="1" s="35">
      <c r="A19" s="39" t="inlineStr">
        <is>
          <t>Afnan</t>
        </is>
      </c>
      <c r="B19" s="47" t="inlineStr">
        <is>
          <t>AFNAN HISTORIC OLMEDA EDP 100ML</t>
        </is>
      </c>
      <c r="C19" s="48" t="n">
        <v>100</v>
      </c>
      <c r="D19" s="49" t="inlineStr">
        <is>
          <t>Árabe</t>
        </is>
      </c>
      <c r="E19" s="50" t="n">
        <v>23.75</v>
      </c>
      <c r="F19" s="51">
        <f>E19*$B$5*(1+$B$6)</f>
        <v>30875</v>
      </c>
      <c r="G19" s="51">
        <f>F19*$B$7</f>
        <v>77187.5</v>
      </c>
      <c r="H19" s="51">
        <f>G19-F19</f>
        <v>46312.5</v>
      </c>
      <c r="I19" s="52">
        <f>H19/G19</f>
        <v>0.6</v>
      </c>
      <c r="J19" s="53" t="n"/>
      <c r="K19" s="54" t="n"/>
    </row>
    <row r="20" ht="15" customHeight="1" s="35">
      <c r="A20" s="39" t="inlineStr">
        <is>
          <t>Afnan</t>
        </is>
      </c>
      <c r="B20" s="47" t="inlineStr">
        <is>
          <t>AFNAN HISTORIC SAHARA EXTRAIT DE PARFUM 100ML</t>
        </is>
      </c>
      <c r="C20" s="48" t="n">
        <v>100</v>
      </c>
      <c r="D20" s="49" t="inlineStr">
        <is>
          <t>Árabe</t>
        </is>
      </c>
      <c r="E20" s="50" t="n">
        <v>28.5</v>
      </c>
      <c r="F20" s="51">
        <f>E20*$B$5*(1+$B$6)</f>
        <v>37050</v>
      </c>
      <c r="G20" s="51">
        <f>F20*$B$7</f>
        <v>92625</v>
      </c>
      <c r="H20" s="51">
        <f>G20-F20</f>
        <v>55575</v>
      </c>
      <c r="I20" s="52">
        <f>H20/G20</f>
        <v>0.6</v>
      </c>
      <c r="J20" s="53" t="n"/>
      <c r="K20" s="54" t="n"/>
    </row>
    <row r="21" ht="15" customHeight="1" s="35">
      <c r="A21" s="39" t="inlineStr">
        <is>
          <t>Afnan</t>
        </is>
      </c>
      <c r="B21" s="47" t="inlineStr">
        <is>
          <t>AFNAN KIAANA ANGEL EDP 100ML FEMININO</t>
        </is>
      </c>
      <c r="C21" s="48" t="n">
        <v>100</v>
      </c>
      <c r="D21" s="49" t="inlineStr">
        <is>
          <t>Árabe</t>
        </is>
      </c>
      <c r="E21" s="50" t="n">
        <v>23.5</v>
      </c>
      <c r="F21" s="51">
        <f>E21*$B$5*(1+$B$6)</f>
        <v>30550</v>
      </c>
      <c r="G21" s="51">
        <f>F21*$B$7</f>
        <v>76375</v>
      </c>
      <c r="H21" s="51">
        <f>G21-F21</f>
        <v>45825</v>
      </c>
      <c r="I21" s="52">
        <f>H21/G21</f>
        <v>0.6</v>
      </c>
      <c r="J21" s="53" t="n"/>
      <c r="K21" s="54" t="n"/>
    </row>
    <row r="22" ht="15" customHeight="1" s="35">
      <c r="A22" s="39" t="inlineStr">
        <is>
          <t>Afnan</t>
        </is>
      </c>
      <c r="B22" s="47" t="inlineStr">
        <is>
          <t>AFNAN SUPREMACY NOT ONLY INTENSE EDP 150ML</t>
        </is>
      </c>
      <c r="C22" s="48" t="n">
        <v>150</v>
      </c>
      <c r="D22" s="49" t="inlineStr">
        <is>
          <t>Árabe</t>
        </is>
      </c>
      <c r="E22" s="50" t="n">
        <v>36.5</v>
      </c>
      <c r="F22" s="51">
        <f>E22*$B$5*(1+$B$6)</f>
        <v>47450</v>
      </c>
      <c r="G22" s="51">
        <f>F22*$B$7</f>
        <v>118625</v>
      </c>
      <c r="H22" s="51">
        <f>G22-F22</f>
        <v>71175</v>
      </c>
      <c r="I22" s="52">
        <f>H22/G22</f>
        <v>0.6</v>
      </c>
      <c r="J22" s="53" t="n"/>
      <c r="K22" s="54" t="n"/>
    </row>
    <row r="23" ht="15" customHeight="1" s="35">
      <c r="A23" s="39" t="inlineStr">
        <is>
          <t>Afnan</t>
        </is>
      </c>
      <c r="B23" s="47" t="inlineStr">
        <is>
          <t>AFNAN TURATHI BLUE EDP 90ML MASC</t>
        </is>
      </c>
      <c r="C23" s="48" t="n">
        <v>90</v>
      </c>
      <c r="D23" s="49" t="inlineStr">
        <is>
          <t>Árabe</t>
        </is>
      </c>
      <c r="E23" s="50" t="n">
        <v>24.75</v>
      </c>
      <c r="F23" s="51">
        <f>E23*$B$5*(1+$B$6)</f>
        <v>32175</v>
      </c>
      <c r="G23" s="51">
        <f>F23*$B$7</f>
        <v>80437.5</v>
      </c>
      <c r="H23" s="51">
        <f>G23-F23</f>
        <v>48262.5</v>
      </c>
      <c r="I23" s="52">
        <f>H23/G23</f>
        <v>0.6</v>
      </c>
      <c r="J23" s="53" t="n"/>
      <c r="K23" s="54" t="n"/>
    </row>
    <row r="24" ht="15" customHeight="1" s="35">
      <c r="A24" s="39" t="inlineStr">
        <is>
          <t>Afnan</t>
        </is>
      </c>
      <c r="B24" s="47" t="inlineStr">
        <is>
          <t>AFNAN TURATHI ELECTRIC EDP 90ML</t>
        </is>
      </c>
      <c r="C24" s="48" t="n">
        <v>90</v>
      </c>
      <c r="D24" s="49" t="inlineStr">
        <is>
          <t>Árabe</t>
        </is>
      </c>
      <c r="E24" s="50" t="n">
        <v>27</v>
      </c>
      <c r="F24" s="51">
        <f>E24*$B$5*(1+$B$6)</f>
        <v>35100</v>
      </c>
      <c r="G24" s="51">
        <f>F24*$B$7</f>
        <v>87750</v>
      </c>
      <c r="H24" s="51">
        <f>G24-F24</f>
        <v>52650</v>
      </c>
      <c r="I24" s="52">
        <f>H24/G24</f>
        <v>0.6</v>
      </c>
      <c r="J24" s="53" t="n"/>
      <c r="K24" s="54" t="n"/>
    </row>
    <row r="25" ht="15" customHeight="1" s="35">
      <c r="A25" s="39" t="inlineStr">
        <is>
          <t>Afnan</t>
        </is>
      </c>
      <c r="B25" s="47" t="inlineStr">
        <is>
          <t>Kiaana Crush EDP</t>
        </is>
      </c>
      <c r="C25" s="48" t="n">
        <v>100</v>
      </c>
      <c r="D25" s="49" t="inlineStr">
        <is>
          <t>Árabe</t>
        </is>
      </c>
      <c r="E25" s="50" t="n">
        <v>23.9</v>
      </c>
      <c r="F25" s="51">
        <f>E25*$B$5*(1+$B$6)</f>
        <v>31070</v>
      </c>
      <c r="G25" s="51">
        <f>F25*$B$7</f>
        <v>77675</v>
      </c>
      <c r="H25" s="51">
        <f>G25-F25</f>
        <v>46605</v>
      </c>
      <c r="I25" s="52">
        <f>H25/G25</f>
        <v>0.6</v>
      </c>
      <c r="J25" s="53" t="n"/>
      <c r="K25" s="54" t="n"/>
    </row>
    <row r="26" ht="15" customHeight="1" s="35">
      <c r="A26" s="39" t="inlineStr">
        <is>
          <t>Al Haramain</t>
        </is>
      </c>
      <c r="B26" s="47" t="inlineStr">
        <is>
          <t>AL HARAMAIN AMBER OUD AQUA DUBAI EDP 100ML (AZUL)</t>
        </is>
      </c>
      <c r="C26" s="48" t="n">
        <v>100</v>
      </c>
      <c r="D26" s="49" t="inlineStr">
        <is>
          <t>Árabe</t>
        </is>
      </c>
      <c r="E26" s="50" t="n">
        <v>42</v>
      </c>
      <c r="F26" s="51">
        <f>E26*$B$5*(1+$B$6)</f>
        <v>54600</v>
      </c>
      <c r="G26" s="51">
        <f>F26*$B$7</f>
        <v>136500</v>
      </c>
      <c r="H26" s="51">
        <f>G26-F26</f>
        <v>81900</v>
      </c>
      <c r="I26" s="52">
        <f>H26/G26</f>
        <v>0.6</v>
      </c>
      <c r="J26" s="53" t="n"/>
      <c r="K26" s="54" t="n"/>
    </row>
    <row r="27" ht="15" customHeight="1" s="35">
      <c r="A27" s="39" t="inlineStr">
        <is>
          <t>Al Haramain</t>
        </is>
      </c>
      <c r="B27" s="47" t="inlineStr">
        <is>
          <t>AL HARAMAIN AMBER OUD AQUA DUBAI PERFUMERY GIFT SET WITH (75ML+30ML+BO</t>
        </is>
      </c>
      <c r="C27" s="48" t="n">
        <v>75</v>
      </c>
      <c r="D27" s="49" t="inlineStr">
        <is>
          <t>Árabe</t>
        </is>
      </c>
      <c r="E27" s="50" t="n">
        <v>65</v>
      </c>
      <c r="F27" s="51">
        <f>E27*$B$5*(1+$B$6)</f>
        <v>84500</v>
      </c>
      <c r="G27" s="51">
        <f>F27*$B$7</f>
        <v>211250</v>
      </c>
      <c r="H27" s="51">
        <f>G27-F27</f>
        <v>126750</v>
      </c>
      <c r="I27" s="52">
        <f>H27/G27</f>
        <v>0.6</v>
      </c>
      <c r="J27" s="53" t="n"/>
      <c r="K27" s="54" t="n"/>
    </row>
    <row r="28" ht="15" customHeight="1" s="35">
      <c r="A28" s="39" t="inlineStr">
        <is>
          <t>Al Haramain</t>
        </is>
      </c>
      <c r="B28" s="47" t="inlineStr">
        <is>
          <t>AL HARAMAIN AMBER OUD CARBON EDITION EDP 60ML</t>
        </is>
      </c>
      <c r="C28" s="48" t="n">
        <v>60</v>
      </c>
      <c r="D28" s="49" t="inlineStr">
        <is>
          <t>Árabe</t>
        </is>
      </c>
      <c r="E28" s="50" t="n">
        <v>34</v>
      </c>
      <c r="F28" s="51">
        <f>E28*$B$5*(1+$B$6)</f>
        <v>44200</v>
      </c>
      <c r="G28" s="51">
        <f>F28*$B$7</f>
        <v>110500</v>
      </c>
      <c r="H28" s="51">
        <f>G28-F28</f>
        <v>66300</v>
      </c>
      <c r="I28" s="52">
        <f>H28/G28</f>
        <v>0.6</v>
      </c>
      <c r="J28" s="53" t="n"/>
      <c r="K28" s="54" t="n"/>
    </row>
    <row r="29" ht="15" customHeight="1" s="35">
      <c r="A29" s="39" t="inlineStr">
        <is>
          <t>Al Haramain</t>
        </is>
      </c>
      <c r="B29" s="47" t="inlineStr">
        <is>
          <t>AL HARAMAIN AMBER OUD DUBAI NIGHT EXTRAIT DE PARFUM 100ML</t>
        </is>
      </c>
      <c r="C29" s="48" t="n">
        <v>100</v>
      </c>
      <c r="D29" s="49" t="inlineStr">
        <is>
          <t>Árabe</t>
        </is>
      </c>
      <c r="E29" s="50" t="n">
        <v>31.5</v>
      </c>
      <c r="F29" s="51">
        <f>E29*$B$5*(1+$B$6)</f>
        <v>40950</v>
      </c>
      <c r="G29" s="51">
        <f>F29*$B$7</f>
        <v>102375</v>
      </c>
      <c r="H29" s="51">
        <f>G29-F29</f>
        <v>61425</v>
      </c>
      <c r="I29" s="52">
        <f>H29/G29</f>
        <v>0.6</v>
      </c>
      <c r="J29" s="53" t="n"/>
      <c r="K29" s="54" t="n"/>
    </row>
    <row r="30" ht="15" customHeight="1" s="35">
      <c r="A30" s="39" t="inlineStr">
        <is>
          <t>Al Haramain</t>
        </is>
      </c>
      <c r="B30" s="47" t="inlineStr">
        <is>
          <t>AL HARAMAIN AMBER OUD DUBAI NIGHT PERFUMERY GIFT SET WITH (75ML+30ML+B</t>
        </is>
      </c>
      <c r="C30" s="48" t="n">
        <v>75</v>
      </c>
      <c r="D30" s="49" t="inlineStr">
        <is>
          <t>Árabe</t>
        </is>
      </c>
      <c r="E30" s="50" t="n">
        <v>65</v>
      </c>
      <c r="F30" s="51">
        <f>E30*$B$5*(1+$B$6)</f>
        <v>84500</v>
      </c>
      <c r="G30" s="51">
        <f>F30*$B$7</f>
        <v>211250</v>
      </c>
      <c r="H30" s="51">
        <f>G30-F30</f>
        <v>126750</v>
      </c>
      <c r="I30" s="52">
        <f>H30/G30</f>
        <v>0.6</v>
      </c>
      <c r="J30" s="53" t="n"/>
      <c r="K30" s="54" t="n"/>
    </row>
    <row r="31" ht="15" customHeight="1" s="35">
      <c r="A31" s="39" t="inlineStr">
        <is>
          <t>Al Haramain</t>
        </is>
      </c>
      <c r="B31" s="47" t="inlineStr">
        <is>
          <t>AL HARAMAIN AMBER OUD EXTREME GOLD EDITION EXTRAIT DE PARFUM 100ML</t>
        </is>
      </c>
      <c r="C31" s="48" t="n">
        <v>100</v>
      </c>
      <c r="D31" s="49" t="inlineStr">
        <is>
          <t>Árabe</t>
        </is>
      </c>
      <c r="E31" s="50" t="n">
        <v>39</v>
      </c>
      <c r="F31" s="51">
        <f>E31*$B$5*(1+$B$6)</f>
        <v>50700</v>
      </c>
      <c r="G31" s="51">
        <f>F31*$B$7</f>
        <v>126750</v>
      </c>
      <c r="H31" s="51">
        <f>G31-F31</f>
        <v>76050</v>
      </c>
      <c r="I31" s="52">
        <f>H31/G31</f>
        <v>0.6</v>
      </c>
      <c r="J31" s="53" t="n"/>
      <c r="K31" s="54" t="n"/>
    </row>
    <row r="32" ht="15" customHeight="1" s="35">
      <c r="A32" s="39" t="inlineStr">
        <is>
          <t>Al Haramain</t>
        </is>
      </c>
      <c r="B32" s="47" t="inlineStr">
        <is>
          <t>AL HARAMAIN AMBER OUD GOLD 999.9 DUBAI EDITION EXTRAIT DE PARFUM 100ML</t>
        </is>
      </c>
      <c r="C32" s="48" t="n">
        <v>100</v>
      </c>
      <c r="D32" s="49" t="inlineStr">
        <is>
          <t>Árabe</t>
        </is>
      </c>
      <c r="E32" s="50" t="n">
        <v>39</v>
      </c>
      <c r="F32" s="51">
        <f>E32*$B$5*(1+$B$6)</f>
        <v>50700</v>
      </c>
      <c r="G32" s="51">
        <f>F32*$B$7</f>
        <v>126750</v>
      </c>
      <c r="H32" s="51">
        <f>G32-F32</f>
        <v>76050</v>
      </c>
      <c r="I32" s="52">
        <f>H32/G32</f>
        <v>0.6</v>
      </c>
      <c r="J32" s="53" t="n"/>
      <c r="K32" s="54" t="n"/>
    </row>
    <row r="33" ht="15" customHeight="1" s="35">
      <c r="A33" s="39" t="inlineStr">
        <is>
          <t>Al Haramain</t>
        </is>
      </c>
      <c r="B33" s="47" t="inlineStr">
        <is>
          <t>AL HARAMAIN AMBER OUD GOLD EDITION GIFT SET (EDP 75 +EDP 30ML +FRARANC</t>
        </is>
      </c>
      <c r="C33" s="48" t="n">
        <v>30</v>
      </c>
      <c r="D33" s="49" t="inlineStr">
        <is>
          <t>Árabe</t>
        </is>
      </c>
      <c r="E33" s="50" t="n">
        <v>62</v>
      </c>
      <c r="F33" s="51">
        <f>E33*$B$5*(1+$B$6)</f>
        <v>80600</v>
      </c>
      <c r="G33" s="51">
        <f>F33*$B$7</f>
        <v>201500</v>
      </c>
      <c r="H33" s="51">
        <f>G33-F33</f>
        <v>120900</v>
      </c>
      <c r="I33" s="52">
        <f>H33/G33</f>
        <v>0.6</v>
      </c>
      <c r="J33" s="53" t="n"/>
      <c r="K33" s="54" t="n"/>
    </row>
    <row r="34" ht="15" customHeight="1" s="35">
      <c r="A34" s="39" t="inlineStr">
        <is>
          <t>Al Haramain</t>
        </is>
      </c>
      <c r="B34" s="47" t="inlineStr">
        <is>
          <t>AL HARAMAIN AMBER OUD PRIVATE EDITION GIFT SET (EDP 75ML+EDP 30ML+FRAR</t>
        </is>
      </c>
      <c r="C34" s="48" t="n">
        <v>75</v>
      </c>
      <c r="D34" s="49" t="inlineStr">
        <is>
          <t>Árabe</t>
        </is>
      </c>
      <c r="E34" s="50" t="n">
        <v>65</v>
      </c>
      <c r="F34" s="51">
        <f>E34*$B$5*(1+$B$6)</f>
        <v>84500</v>
      </c>
      <c r="G34" s="51">
        <f>F34*$B$7</f>
        <v>211250</v>
      </c>
      <c r="H34" s="51">
        <f>G34-F34</f>
        <v>126750</v>
      </c>
      <c r="I34" s="52">
        <f>H34/G34</f>
        <v>0.6</v>
      </c>
      <c r="J34" s="53" t="n"/>
      <c r="K34" s="54" t="n"/>
    </row>
    <row r="35" ht="15" customHeight="1" s="35">
      <c r="A35" s="39" t="inlineStr">
        <is>
          <t>Al Haramain</t>
        </is>
      </c>
      <c r="B35" s="47" t="inlineStr">
        <is>
          <t>AL HARAMAIN AMBER OUD RUBY EDITION EDP 120ML</t>
        </is>
      </c>
      <c r="C35" s="48" t="n">
        <v>120</v>
      </c>
      <c r="D35" s="49" t="inlineStr">
        <is>
          <t>Árabe</t>
        </is>
      </c>
      <c r="E35" s="50" t="n">
        <v>43.5</v>
      </c>
      <c r="F35" s="51">
        <f>E35*$B$5*(1+$B$6)</f>
        <v>56550</v>
      </c>
      <c r="G35" s="51">
        <f>F35*$B$7</f>
        <v>141375</v>
      </c>
      <c r="H35" s="51">
        <f>G35-F35</f>
        <v>84825</v>
      </c>
      <c r="I35" s="52">
        <f>H35/G35</f>
        <v>0.6</v>
      </c>
      <c r="J35" s="53" t="n"/>
      <c r="K35" s="54" t="n"/>
    </row>
    <row r="36" ht="15" customHeight="1" s="35">
      <c r="A36" s="39" t="inlineStr">
        <is>
          <t>Al Haramain</t>
        </is>
      </c>
      <c r="B36" s="47" t="inlineStr">
        <is>
          <t>AL HARAMAIN AMBER OUD RUBY EDITION GIFT SET (EDP 75ML + EDP 30ML + FRA</t>
        </is>
      </c>
      <c r="C36" s="48" t="n">
        <v>75</v>
      </c>
      <c r="D36" s="49" t="inlineStr">
        <is>
          <t>Árabe</t>
        </is>
      </c>
      <c r="E36" s="50" t="n">
        <v>65</v>
      </c>
      <c r="F36" s="51">
        <f>E36*$B$5*(1+$B$6)</f>
        <v>84500</v>
      </c>
      <c r="G36" s="51">
        <f>F36*$B$7</f>
        <v>211250</v>
      </c>
      <c r="H36" s="51">
        <f>G36-F36</f>
        <v>126750</v>
      </c>
      <c r="I36" s="52">
        <f>H36/G36</f>
        <v>0.6</v>
      </c>
      <c r="J36" s="53" t="n"/>
      <c r="K36" s="54" t="n"/>
    </row>
    <row r="37" ht="15" customHeight="1" s="35">
      <c r="A37" s="39" t="inlineStr">
        <is>
          <t>Al Haramain</t>
        </is>
      </c>
      <c r="B37" s="47" t="inlineStr">
        <is>
          <t>AL HARAMAIN AMBER OUD ULTRA VIOLET EDP 120ML</t>
        </is>
      </c>
      <c r="C37" s="48" t="n">
        <v>120</v>
      </c>
      <c r="D37" s="49" t="inlineStr">
        <is>
          <t>Árabe</t>
        </is>
      </c>
      <c r="E37" s="50" t="n">
        <v>44</v>
      </c>
      <c r="F37" s="51">
        <f>E37*$B$5*(1+$B$6)</f>
        <v>57200</v>
      </c>
      <c r="G37" s="51">
        <f>F37*$B$7</f>
        <v>143000</v>
      </c>
      <c r="H37" s="51">
        <f>G37-F37</f>
        <v>85800</v>
      </c>
      <c r="I37" s="52">
        <f>H37/G37</f>
        <v>0.6</v>
      </c>
      <c r="J37" s="53" t="n"/>
      <c r="K37" s="54" t="n"/>
    </row>
    <row r="38" ht="15" customHeight="1" s="35">
      <c r="A38" s="39" t="inlineStr">
        <is>
          <t>Al Haramain</t>
        </is>
      </c>
      <c r="B38" s="47" t="inlineStr">
        <is>
          <t>AL HARAMAIN AMBER OUD ULTRA VIOLET PERFUMERY GIFT SET WITH BODYMIST (7</t>
        </is>
      </c>
      <c r="C38" s="48" t="n"/>
      <c r="D38" s="49" t="inlineStr">
        <is>
          <t>Árabe</t>
        </is>
      </c>
      <c r="E38" s="50" t="n">
        <v>65</v>
      </c>
      <c r="F38" s="51">
        <f>E38*$B$5*(1+$B$6)</f>
        <v>84500</v>
      </c>
      <c r="G38" s="51">
        <f>F38*$B$7</f>
        <v>211250</v>
      </c>
      <c r="H38" s="51">
        <f>G38-F38</f>
        <v>126750</v>
      </c>
      <c r="I38" s="52">
        <f>H38/G38</f>
        <v>0.6</v>
      </c>
      <c r="J38" s="53" t="n"/>
      <c r="K38" s="54" t="n"/>
    </row>
    <row r="39" ht="15" customHeight="1" s="35">
      <c r="A39" s="39" t="inlineStr">
        <is>
          <t>Al Haramain</t>
        </is>
      </c>
      <c r="B39" s="47" t="inlineStr">
        <is>
          <t>AL HARAMAIN AMBER OUD WHITE EDP 100ML</t>
        </is>
      </c>
      <c r="C39" s="48" t="n">
        <v>100</v>
      </c>
      <c r="D39" s="49" t="inlineStr">
        <is>
          <t>Árabe</t>
        </is>
      </c>
      <c r="E39" s="50" t="n">
        <v>31</v>
      </c>
      <c r="F39" s="51">
        <f>E39*$B$5*(1+$B$6)</f>
        <v>40300</v>
      </c>
      <c r="G39" s="51">
        <f>F39*$B$7</f>
        <v>100750</v>
      </c>
      <c r="H39" s="51">
        <f>G39-F39</f>
        <v>60450</v>
      </c>
      <c r="I39" s="52">
        <f>H39/G39</f>
        <v>0.6</v>
      </c>
      <c r="J39" s="53" t="n"/>
      <c r="K39" s="54" t="n"/>
    </row>
    <row r="40" ht="15" customHeight="1" s="35">
      <c r="A40" s="39" t="inlineStr">
        <is>
          <t>Al Haramain</t>
        </is>
      </c>
      <c r="B40" s="47" t="inlineStr">
        <is>
          <t>AL HARAMAIN AVALON EDP 100ML</t>
        </is>
      </c>
      <c r="C40" s="48" t="n">
        <v>100</v>
      </c>
      <c r="D40" s="49" t="inlineStr">
        <is>
          <t>Árabe</t>
        </is>
      </c>
      <c r="E40" s="50" t="n">
        <v>28</v>
      </c>
      <c r="F40" s="51">
        <f>E40*$B$5*(1+$B$6)</f>
        <v>36400</v>
      </c>
      <c r="G40" s="51">
        <f>F40*$B$7</f>
        <v>91000</v>
      </c>
      <c r="H40" s="51">
        <f>G40-F40</f>
        <v>54600</v>
      </c>
      <c r="I40" s="52">
        <f>H40/G40</f>
        <v>0.6</v>
      </c>
      <c r="J40" s="53" t="n"/>
      <c r="K40" s="54" t="n"/>
    </row>
    <row r="41" ht="15" customHeight="1" s="35">
      <c r="A41" s="39" t="inlineStr">
        <is>
          <t>Al Haramain</t>
        </is>
      </c>
      <c r="B41" s="47" t="inlineStr">
        <is>
          <t>AL HARAMAIN AZURE EDP 100ML</t>
        </is>
      </c>
      <c r="C41" s="48" t="n">
        <v>100</v>
      </c>
      <c r="D41" s="49" t="inlineStr">
        <is>
          <t>Árabe</t>
        </is>
      </c>
      <c r="E41" s="50" t="n">
        <v>28</v>
      </c>
      <c r="F41" s="51">
        <f>E41*$B$5*(1+$B$6)</f>
        <v>36400</v>
      </c>
      <c r="G41" s="51">
        <f>F41*$B$7</f>
        <v>91000</v>
      </c>
      <c r="H41" s="51">
        <f>G41-F41</f>
        <v>54600</v>
      </c>
      <c r="I41" s="52">
        <f>H41/G41</f>
        <v>0.6</v>
      </c>
      <c r="J41" s="53" t="n"/>
      <c r="K41" s="54" t="n"/>
    </row>
    <row r="42">
      <c r="A42" s="39" t="inlineStr">
        <is>
          <t>Al Haramain</t>
        </is>
      </c>
      <c r="B42" s="47" t="inlineStr">
        <is>
          <t>AL HARAMAIN AZURE EDP 30ML</t>
        </is>
      </c>
      <c r="C42" s="48" t="n">
        <v>30</v>
      </c>
      <c r="D42" s="49" t="inlineStr">
        <is>
          <t>Árabe</t>
        </is>
      </c>
      <c r="E42" s="50" t="n">
        <v>11</v>
      </c>
      <c r="F42" s="51">
        <f>E42*$B$5*(1+$B$6)</f>
        <v>14300</v>
      </c>
      <c r="G42" s="51">
        <f>F42*$B$7</f>
        <v>35750</v>
      </c>
      <c r="H42" s="51">
        <f>G42-F42</f>
        <v>21450</v>
      </c>
      <c r="I42" s="52">
        <f>H42/G42</f>
        <v>0.6</v>
      </c>
      <c r="J42" s="53" t="n"/>
      <c r="K42" s="54" t="n"/>
    </row>
    <row r="43" ht="15" customHeight="1" s="35">
      <c r="A43" s="39" t="inlineStr">
        <is>
          <t>Al Haramain</t>
        </is>
      </c>
      <c r="B43" s="47" t="inlineStr">
        <is>
          <t>AL HARAMAIN CONCEPTION EDP 100ML</t>
        </is>
      </c>
      <c r="C43" s="48" t="n">
        <v>100</v>
      </c>
      <c r="D43" s="49" t="inlineStr">
        <is>
          <t>Árabe</t>
        </is>
      </c>
      <c r="E43" s="50" t="n">
        <v>28</v>
      </c>
      <c r="F43" s="51">
        <f>E43*$B$5*(1+$B$6)</f>
        <v>36400</v>
      </c>
      <c r="G43" s="51">
        <f>F43*$B$7</f>
        <v>91000</v>
      </c>
      <c r="H43" s="51">
        <f>G43-F43</f>
        <v>54600</v>
      </c>
      <c r="I43" s="52">
        <f>H43/G43</f>
        <v>0.6</v>
      </c>
      <c r="J43" s="53" t="n"/>
      <c r="K43" s="54" t="n"/>
    </row>
    <row r="44" ht="15" customHeight="1" s="35">
      <c r="A44" s="39" t="inlineStr">
        <is>
          <t>Al Haramain</t>
        </is>
      </c>
      <c r="B44" s="47" t="inlineStr">
        <is>
          <t>AL HARAMAIN CONCEPTION EDP 30ML</t>
        </is>
      </c>
      <c r="C44" s="48" t="n">
        <v>30</v>
      </c>
      <c r="D44" s="49" t="inlineStr">
        <is>
          <t>Árabe</t>
        </is>
      </c>
      <c r="E44" s="50" t="n">
        <v>11</v>
      </c>
      <c r="F44" s="51">
        <f>E44*$B$5*(1+$B$6)</f>
        <v>14300</v>
      </c>
      <c r="G44" s="51">
        <f>F44*$B$7</f>
        <v>35750</v>
      </c>
      <c r="H44" s="51">
        <f>G44-F44</f>
        <v>21450</v>
      </c>
      <c r="I44" s="52">
        <f>H44/G44</f>
        <v>0.6</v>
      </c>
      <c r="J44" s="53" t="n"/>
      <c r="K44" s="54" t="n"/>
    </row>
    <row r="45" ht="15" customHeight="1" s="35">
      <c r="A45" s="39" t="inlineStr">
        <is>
          <t>Al Haramain</t>
        </is>
      </c>
      <c r="B45" s="47" t="inlineStr">
        <is>
          <t>AL HARAMAIN FLORAL FAIR EDP 100ML</t>
        </is>
      </c>
      <c r="C45" s="48" t="n">
        <v>100</v>
      </c>
      <c r="D45" s="49" t="inlineStr">
        <is>
          <t>Árabe</t>
        </is>
      </c>
      <c r="E45" s="50" t="n">
        <v>25</v>
      </c>
      <c r="F45" s="51">
        <f>E45*$B$5*(1+$B$6)</f>
        <v>32500</v>
      </c>
      <c r="G45" s="51">
        <f>F45*$B$7</f>
        <v>81250</v>
      </c>
      <c r="H45" s="51">
        <f>G45-F45</f>
        <v>48750</v>
      </c>
      <c r="I45" s="52">
        <f>H45/G45</f>
        <v>0.6</v>
      </c>
      <c r="J45" s="53" t="n"/>
      <c r="K45" s="54" t="n"/>
    </row>
    <row r="46" ht="15" customHeight="1" s="35">
      <c r="A46" s="39" t="inlineStr">
        <is>
          <t>Al Haramain</t>
        </is>
      </c>
      <c r="B46" s="47" t="inlineStr">
        <is>
          <t>AL HARAMAIN FREYA EDP 100ML</t>
        </is>
      </c>
      <c r="C46" s="48" t="n">
        <v>100</v>
      </c>
      <c r="D46" s="49" t="inlineStr">
        <is>
          <t>Árabe</t>
        </is>
      </c>
      <c r="E46" s="50" t="n">
        <v>27</v>
      </c>
      <c r="F46" s="51">
        <f>E46*$B$5*(1+$B$6)</f>
        <v>35100</v>
      </c>
      <c r="G46" s="51">
        <f>F46*$B$7</f>
        <v>87750</v>
      </c>
      <c r="H46" s="51">
        <f>G46-F46</f>
        <v>52650</v>
      </c>
      <c r="I46" s="52">
        <f>H46/G46</f>
        <v>0.6</v>
      </c>
      <c r="J46" s="53" t="n"/>
      <c r="K46" s="54" t="n"/>
    </row>
    <row r="47">
      <c r="A47" s="39" t="inlineStr">
        <is>
          <t>Al Haramain</t>
        </is>
      </c>
      <c r="B47" s="47" t="inlineStr">
        <is>
          <t>AL HARAMAIN FREYA EDP 30ML</t>
        </is>
      </c>
      <c r="C47" s="48" t="n">
        <v>30</v>
      </c>
      <c r="D47" s="49" t="inlineStr">
        <is>
          <t>Árabe</t>
        </is>
      </c>
      <c r="E47" s="50" t="n">
        <v>11</v>
      </c>
      <c r="F47" s="51">
        <f>E47*$B$5*(1+$B$6)</f>
        <v>14300</v>
      </c>
      <c r="G47" s="51">
        <f>F47*$B$7</f>
        <v>35750</v>
      </c>
      <c r="H47" s="51">
        <f>G47-F47</f>
        <v>21450</v>
      </c>
      <c r="I47" s="52">
        <f>H47/G47</f>
        <v>0.6</v>
      </c>
      <c r="J47" s="53" t="n"/>
      <c r="K47" s="54" t="n"/>
    </row>
    <row r="48">
      <c r="A48" s="39" t="inlineStr">
        <is>
          <t>Al Haramain</t>
        </is>
      </c>
      <c r="B48" s="47" t="inlineStr">
        <is>
          <t>AL HARAMAIN GOLD CRYSTAL OUDH EXTRAIT DE PARFUM 100ML</t>
        </is>
      </c>
      <c r="C48" s="48" t="n">
        <v>100</v>
      </c>
      <c r="D48" s="49" t="inlineStr">
        <is>
          <t>Árabe</t>
        </is>
      </c>
      <c r="E48" s="50" t="n">
        <v>28.5</v>
      </c>
      <c r="F48" s="51">
        <f>E48*$B$5*(1+$B$6)</f>
        <v>37050</v>
      </c>
      <c r="G48" s="51">
        <f>F48*$B$7</f>
        <v>92625</v>
      </c>
      <c r="H48" s="51">
        <f>G48-F48</f>
        <v>55575</v>
      </c>
      <c r="I48" s="52">
        <f>H48/G48</f>
        <v>0.6</v>
      </c>
      <c r="J48" s="53" t="n"/>
      <c r="K48" s="54" t="n"/>
    </row>
    <row r="49">
      <c r="A49" s="39" t="inlineStr">
        <is>
          <t>Al Haramain</t>
        </is>
      </c>
      <c r="B49" s="47" t="inlineStr">
        <is>
          <t>AL HARAMAIN GOLD CRYSTAL SAPHIRE 100ML</t>
        </is>
      </c>
      <c r="C49" s="48" t="n">
        <v>100</v>
      </c>
      <c r="D49" s="49" t="inlineStr">
        <is>
          <t>Árabe</t>
        </is>
      </c>
      <c r="E49" s="50" t="n">
        <v>28.5</v>
      </c>
      <c r="F49" s="51">
        <f>E49*$B$5*(1+$B$6)</f>
        <v>37050</v>
      </c>
      <c r="G49" s="51">
        <f>F49*$B$7</f>
        <v>92625</v>
      </c>
      <c r="H49" s="51">
        <f>G49-F49</f>
        <v>55575</v>
      </c>
      <c r="I49" s="52">
        <f>H49/G49</f>
        <v>0.6</v>
      </c>
      <c r="J49" s="53" t="n"/>
      <c r="K49" s="54" t="n"/>
    </row>
    <row r="50">
      <c r="A50" s="39" t="inlineStr">
        <is>
          <t>Al Haramain</t>
        </is>
      </c>
      <c r="B50" s="47" t="inlineStr">
        <is>
          <t>AL HARAMAIN GREEN DUBAI EXTRAIT DE PARFUM 100ML</t>
        </is>
      </c>
      <c r="C50" s="48" t="n">
        <v>100</v>
      </c>
      <c r="D50" s="49" t="inlineStr">
        <is>
          <t>Árabe</t>
        </is>
      </c>
      <c r="E50" s="50" t="n">
        <v>25</v>
      </c>
      <c r="F50" s="51">
        <f>E50*$B$5*(1+$B$6)</f>
        <v>32500</v>
      </c>
      <c r="G50" s="51">
        <f>F50*$B$7</f>
        <v>81250</v>
      </c>
      <c r="H50" s="51">
        <f>G50-F50</f>
        <v>48750</v>
      </c>
      <c r="I50" s="52">
        <f>H50/G50</f>
        <v>0.6</v>
      </c>
      <c r="J50" s="53" t="n"/>
      <c r="K50" s="54" t="n"/>
    </row>
    <row r="51">
      <c r="A51" s="39" t="inlineStr">
        <is>
          <t>Al Haramain</t>
        </is>
      </c>
      <c r="B51" s="47" t="inlineStr">
        <is>
          <t>AL HARAMAIN HARMONY EDP 100ML</t>
        </is>
      </c>
      <c r="C51" s="48" t="n">
        <v>100</v>
      </c>
      <c r="D51" s="49" t="inlineStr">
        <is>
          <t>Árabe</t>
        </is>
      </c>
      <c r="E51" s="50" t="n">
        <v>28</v>
      </c>
      <c r="F51" s="51">
        <f>E51*$B$5*(1+$B$6)</f>
        <v>36400</v>
      </c>
      <c r="G51" s="51">
        <f>F51*$B$7</f>
        <v>91000</v>
      </c>
      <c r="H51" s="51">
        <f>G51-F51</f>
        <v>54600</v>
      </c>
      <c r="I51" s="52">
        <f>H51/G51</f>
        <v>0.6</v>
      </c>
      <c r="J51" s="53" t="n"/>
      <c r="K51" s="54" t="n"/>
    </row>
    <row r="52">
      <c r="A52" s="39" t="inlineStr">
        <is>
          <t>Al Haramain</t>
        </is>
      </c>
      <c r="B52" s="47" t="inlineStr">
        <is>
          <t>AL HARAMAIN HARMONY EDP 30ML</t>
        </is>
      </c>
      <c r="C52" s="48" t="n">
        <v>30</v>
      </c>
      <c r="D52" s="49" t="inlineStr">
        <is>
          <t>Árabe</t>
        </is>
      </c>
      <c r="E52" s="50" t="n">
        <v>11</v>
      </c>
      <c r="F52" s="51">
        <f>E52*$B$5*(1+$B$6)</f>
        <v>14300</v>
      </c>
      <c r="G52" s="51">
        <f>F52*$B$7</f>
        <v>35750</v>
      </c>
      <c r="H52" s="51">
        <f>G52-F52</f>
        <v>21450</v>
      </c>
      <c r="I52" s="52">
        <f>H52/G52</f>
        <v>0.6</v>
      </c>
      <c r="J52" s="53" t="n"/>
      <c r="K52" s="54" t="n"/>
    </row>
    <row r="53">
      <c r="A53" s="39" t="inlineStr">
        <is>
          <t>Al Haramain</t>
        </is>
      </c>
      <c r="B53" s="47" t="inlineStr">
        <is>
          <t>AL HARAMAIN KIT 4X10ML AMBER OUD+L'AVENTURE+AZLAN AMBER+BLANCHE R (02)</t>
        </is>
      </c>
      <c r="C53" s="48" t="n">
        <v>40</v>
      </c>
      <c r="D53" s="49" t="inlineStr">
        <is>
          <t>Árabe</t>
        </is>
      </c>
      <c r="E53" s="50" t="n">
        <v>35</v>
      </c>
      <c r="F53" s="51">
        <f>E53*$B$5*(1+$B$6)</f>
        <v>45500</v>
      </c>
      <c r="G53" s="51">
        <f>F53*$B$7</f>
        <v>113750</v>
      </c>
      <c r="H53" s="51">
        <f>G53-F53</f>
        <v>68250</v>
      </c>
      <c r="I53" s="52">
        <f>H53/G53</f>
        <v>0.6</v>
      </c>
      <c r="J53" s="53" t="n"/>
      <c r="K53" s="54" t="n"/>
    </row>
    <row r="54">
      <c r="A54" s="39" t="inlineStr">
        <is>
          <t>Al Haramain</t>
        </is>
      </c>
      <c r="B54" s="47" t="inlineStr">
        <is>
          <t>AL HARAMAIN KIT 4X10ML AMBER OUD+L'AVENTURE+AZLAN BLEU+ROUGE FRENCH 01</t>
        </is>
      </c>
      <c r="C54" s="48" t="n">
        <v>40</v>
      </c>
      <c r="D54" s="49" t="inlineStr">
        <is>
          <t>Árabe</t>
        </is>
      </c>
      <c r="E54" s="50" t="n">
        <v>35</v>
      </c>
      <c r="F54" s="51">
        <f>E54*$B$5*(1+$B$6)</f>
        <v>45500</v>
      </c>
      <c r="G54" s="51">
        <f>F54*$B$7</f>
        <v>113750</v>
      </c>
      <c r="H54" s="51">
        <f>G54-F54</f>
        <v>68250</v>
      </c>
      <c r="I54" s="52">
        <f>H54/G54</f>
        <v>0.6</v>
      </c>
      <c r="J54" s="53" t="n"/>
      <c r="K54" s="54" t="n"/>
    </row>
    <row r="55">
      <c r="A55" s="39" t="inlineStr">
        <is>
          <t>Al Haramain</t>
        </is>
      </c>
      <c r="B55" s="47" t="inlineStr">
        <is>
          <t>AL HARAMAIN KIT 4X10ML AMBER OUD+L'AVENTURE+AZLAN CHARCOAL+DESTINO FRE</t>
        </is>
      </c>
      <c r="C55" s="48" t="n">
        <v>40</v>
      </c>
      <c r="D55" s="49" t="inlineStr">
        <is>
          <t>Árabe</t>
        </is>
      </c>
      <c r="E55" s="50" t="n">
        <v>35</v>
      </c>
      <c r="F55" s="51">
        <f>E55*$B$5*(1+$B$6)</f>
        <v>45500</v>
      </c>
      <c r="G55" s="51">
        <f>F55*$B$7</f>
        <v>113750</v>
      </c>
      <c r="H55" s="51">
        <f>G55-F55</f>
        <v>68250</v>
      </c>
      <c r="I55" s="52">
        <f>H55/G55</f>
        <v>0.6</v>
      </c>
      <c r="J55" s="53" t="n"/>
      <c r="K55" s="54" t="n"/>
    </row>
    <row r="56">
      <c r="A56" s="39" t="inlineStr">
        <is>
          <t>Al Haramain</t>
        </is>
      </c>
      <c r="B56" s="47" t="inlineStr">
        <is>
          <t>AL HARAMAIN KIT 4X10ML AMBER OUD+L'AVENTURE+AZLAN ZAFFRON+AZZURE FRENC</t>
        </is>
      </c>
      <c r="C56" s="48" t="n">
        <v>40</v>
      </c>
      <c r="D56" s="49" t="inlineStr">
        <is>
          <t>Árabe</t>
        </is>
      </c>
      <c r="E56" s="50" t="n">
        <v>35</v>
      </c>
      <c r="F56" s="51">
        <f>E56*$B$5*(1+$B$6)</f>
        <v>45500</v>
      </c>
      <c r="G56" s="51">
        <f>F56*$B$7</f>
        <v>113750</v>
      </c>
      <c r="H56" s="51">
        <f>G56-F56</f>
        <v>68250</v>
      </c>
      <c r="I56" s="52">
        <f>H56/G56</f>
        <v>0.6</v>
      </c>
      <c r="J56" s="53" t="n"/>
      <c r="K56" s="54" t="n"/>
    </row>
    <row r="57">
      <c r="A57" s="39" t="inlineStr">
        <is>
          <t>Al Haramain</t>
        </is>
      </c>
      <c r="B57" s="47" t="inlineStr">
        <is>
          <t>AL HARAMAIN KIT AMBER OUD RUBY EDITION EDP 75ML + EDP 30ML + DEO 200ML</t>
        </is>
      </c>
      <c r="C57" s="48" t="n">
        <v>75</v>
      </c>
      <c r="D57" s="49" t="inlineStr">
        <is>
          <t>Árabe</t>
        </is>
      </c>
      <c r="E57" s="50" t="n">
        <v>49.5</v>
      </c>
      <c r="F57" s="51">
        <f>E57*$B$5*(1+$B$6)</f>
        <v>64350</v>
      </c>
      <c r="G57" s="51">
        <f>F57*$B$7</f>
        <v>160875</v>
      </c>
      <c r="H57" s="51">
        <f>G57-F57</f>
        <v>96525</v>
      </c>
      <c r="I57" s="52">
        <f>H57/G57</f>
        <v>0.6</v>
      </c>
      <c r="J57" s="53" t="n"/>
      <c r="K57" s="54" t="n"/>
    </row>
    <row r="58">
      <c r="A58" s="39" t="inlineStr">
        <is>
          <t>Al Haramain</t>
        </is>
      </c>
      <c r="B58" s="47" t="inlineStr">
        <is>
          <t>AL HARAMAIN L'AVENTURE CIEL EDP 100ML MASC</t>
        </is>
      </c>
      <c r="C58" s="48" t="n">
        <v>100</v>
      </c>
      <c r="D58" s="49" t="inlineStr">
        <is>
          <t>Árabe</t>
        </is>
      </c>
      <c r="E58" s="50" t="n">
        <v>26</v>
      </c>
      <c r="F58" s="51">
        <f>E58*$B$5*(1+$B$6)</f>
        <v>33800</v>
      </c>
      <c r="G58" s="51">
        <f>F58*$B$7</f>
        <v>84500</v>
      </c>
      <c r="H58" s="51">
        <f>G58-F58</f>
        <v>50700</v>
      </c>
      <c r="I58" s="52">
        <f>H58/G58</f>
        <v>0.6</v>
      </c>
      <c r="J58" s="53" t="n"/>
      <c r="K58" s="54" t="n"/>
    </row>
    <row r="59">
      <c r="A59" s="39" t="inlineStr">
        <is>
          <t>Al Haramain</t>
        </is>
      </c>
      <c r="B59" s="47" t="inlineStr">
        <is>
          <t>AL HARAMAIN L'AVENTURE FRAICHE EDP 100ML</t>
        </is>
      </c>
      <c r="C59" s="48" t="n">
        <v>100</v>
      </c>
      <c r="D59" s="49" t="inlineStr">
        <is>
          <t>Árabe</t>
        </is>
      </c>
      <c r="E59" s="50" t="n">
        <v>26</v>
      </c>
      <c r="F59" s="51">
        <f>E59*$B$5*(1+$B$6)</f>
        <v>33800</v>
      </c>
      <c r="G59" s="51">
        <f>F59*$B$7</f>
        <v>84500</v>
      </c>
      <c r="H59" s="51">
        <f>G59-F59</f>
        <v>50700</v>
      </c>
      <c r="I59" s="52">
        <f>H59/G59</f>
        <v>0.6</v>
      </c>
      <c r="J59" s="53" t="n"/>
      <c r="K59" s="54" t="n"/>
    </row>
    <row r="60">
      <c r="A60" s="39" t="inlineStr">
        <is>
          <t>Al Haramain</t>
        </is>
      </c>
      <c r="B60" s="47" t="inlineStr">
        <is>
          <t>AL HARAMAIN L'AVENTURE GRAPEFRUIT EDP 100ML</t>
        </is>
      </c>
      <c r="C60" s="48" t="n">
        <v>100</v>
      </c>
      <c r="D60" s="49" t="inlineStr">
        <is>
          <t>Árabe</t>
        </is>
      </c>
      <c r="E60" s="50" t="n">
        <v>25</v>
      </c>
      <c r="F60" s="51">
        <f>E60*$B$5*(1+$B$6)</f>
        <v>32500</v>
      </c>
      <c r="G60" s="51">
        <f>F60*$B$7</f>
        <v>81250</v>
      </c>
      <c r="H60" s="51">
        <f>G60-F60</f>
        <v>48750</v>
      </c>
      <c r="I60" s="52">
        <f>H60/G60</f>
        <v>0.6</v>
      </c>
      <c r="J60" s="53" t="n"/>
      <c r="K60" s="54" t="n"/>
    </row>
    <row r="61">
      <c r="A61" s="39" t="inlineStr">
        <is>
          <t>Al Haramain</t>
        </is>
      </c>
      <c r="B61" s="47" t="inlineStr">
        <is>
          <t>AL HARAMAIN L'AVENTURE IRIS EDP 100ML FEM</t>
        </is>
      </c>
      <c r="C61" s="48" t="n">
        <v>100</v>
      </c>
      <c r="D61" s="49" t="inlineStr">
        <is>
          <t>Árabe</t>
        </is>
      </c>
      <c r="E61" s="50" t="n">
        <v>25.5</v>
      </c>
      <c r="F61" s="51">
        <f>E61*$B$5*(1+$B$6)</f>
        <v>33150</v>
      </c>
      <c r="G61" s="51">
        <f>F61*$B$7</f>
        <v>82875</v>
      </c>
      <c r="H61" s="51">
        <f>G61-F61</f>
        <v>49725</v>
      </c>
      <c r="I61" s="52">
        <f>H61/G61</f>
        <v>0.6</v>
      </c>
      <c r="J61" s="53" t="n"/>
      <c r="K61" s="54" t="n"/>
    </row>
    <row r="62">
      <c r="A62" s="39" t="inlineStr">
        <is>
          <t>Al Haramain</t>
        </is>
      </c>
      <c r="B62" s="47" t="inlineStr">
        <is>
          <t>AL HARAMAIN LEIF EDP 100ML</t>
        </is>
      </c>
      <c r="C62" s="48" t="n">
        <v>100</v>
      </c>
      <c r="D62" s="49" t="inlineStr">
        <is>
          <t>Árabe</t>
        </is>
      </c>
      <c r="E62" s="50" t="n">
        <v>27</v>
      </c>
      <c r="F62" s="51">
        <f>E62*$B$5*(1+$B$6)</f>
        <v>35100</v>
      </c>
      <c r="G62" s="51">
        <f>F62*$B$7</f>
        <v>87750</v>
      </c>
      <c r="H62" s="51">
        <f>G62-F62</f>
        <v>52650</v>
      </c>
      <c r="I62" s="52">
        <f>H62/G62</f>
        <v>0.6</v>
      </c>
      <c r="J62" s="53" t="n"/>
      <c r="K62" s="54" t="n"/>
    </row>
    <row r="63">
      <c r="A63" s="39" t="inlineStr">
        <is>
          <t>Al Haramain</t>
        </is>
      </c>
      <c r="B63" s="47" t="inlineStr">
        <is>
          <t>AL HARAMAIN LEIF EDP 30ML</t>
        </is>
      </c>
      <c r="C63" s="48" t="n">
        <v>30</v>
      </c>
      <c r="D63" s="49" t="inlineStr">
        <is>
          <t>Árabe</t>
        </is>
      </c>
      <c r="E63" s="50" t="n">
        <v>11</v>
      </c>
      <c r="F63" s="51">
        <f>E63*$B$5*(1+$B$6)</f>
        <v>14300</v>
      </c>
      <c r="G63" s="51">
        <f>F63*$B$7</f>
        <v>35750</v>
      </c>
      <c r="H63" s="51">
        <f>G63-F63</f>
        <v>21450</v>
      </c>
      <c r="I63" s="52">
        <f>H63/G63</f>
        <v>0.6</v>
      </c>
      <c r="J63" s="53" t="n"/>
      <c r="K63" s="54" t="n"/>
    </row>
    <row r="64">
      <c r="A64" s="39" t="inlineStr">
        <is>
          <t>Al Haramain</t>
        </is>
      </c>
      <c r="B64" s="47" t="inlineStr">
        <is>
          <t>AL HARAMAIN MANEGE BLANCHE EDP 75ML</t>
        </is>
      </c>
      <c r="C64" s="48" t="n">
        <v>75</v>
      </c>
      <c r="D64" s="49" t="inlineStr">
        <is>
          <t>Árabe</t>
        </is>
      </c>
      <c r="E64" s="50" t="n">
        <v>35.5</v>
      </c>
      <c r="F64" s="51">
        <f>E64*$B$5*(1+$B$6)</f>
        <v>46150</v>
      </c>
      <c r="G64" s="51">
        <f>F64*$B$7</f>
        <v>115375</v>
      </c>
      <c r="H64" s="51">
        <f>G64-F64</f>
        <v>69225</v>
      </c>
      <c r="I64" s="52">
        <f>H64/G64</f>
        <v>0.6</v>
      </c>
      <c r="J64" s="53" t="n"/>
      <c r="K64" s="54" t="n"/>
    </row>
    <row r="65">
      <c r="A65" s="39" t="inlineStr">
        <is>
          <t>Al Haramain</t>
        </is>
      </c>
      <c r="B65" s="47" t="inlineStr">
        <is>
          <t>AL HARAMAIN MANEGE ROUGE EDP 75ML</t>
        </is>
      </c>
      <c r="C65" s="48" t="n">
        <v>75</v>
      </c>
      <c r="D65" s="49" t="inlineStr">
        <is>
          <t>Árabe</t>
        </is>
      </c>
      <c r="E65" s="50" t="n">
        <v>35.5</v>
      </c>
      <c r="F65" s="51">
        <f>E65*$B$5*(1+$B$6)</f>
        <v>46150</v>
      </c>
      <c r="G65" s="51">
        <f>F65*$B$7</f>
        <v>115375</v>
      </c>
      <c r="H65" s="51">
        <f>G65-F65</f>
        <v>69225</v>
      </c>
      <c r="I65" s="52">
        <f>H65/G65</f>
        <v>0.6</v>
      </c>
      <c r="J65" s="53" t="n"/>
      <c r="K65" s="54" t="n"/>
    </row>
    <row r="66">
      <c r="A66" s="39" t="inlineStr">
        <is>
          <t>Al Haramain</t>
        </is>
      </c>
      <c r="B66" s="47" t="inlineStr">
        <is>
          <t>AL HARAMAIN OLAF EDP 100ML</t>
        </is>
      </c>
      <c r="C66" s="48" t="n">
        <v>100</v>
      </c>
      <c r="D66" s="49" t="inlineStr">
        <is>
          <t>Árabe</t>
        </is>
      </c>
      <c r="E66" s="50" t="n">
        <v>27</v>
      </c>
      <c r="F66" s="51">
        <f>E66*$B$5*(1+$B$6)</f>
        <v>35100</v>
      </c>
      <c r="G66" s="51">
        <f>F66*$B$7</f>
        <v>87750</v>
      </c>
      <c r="H66" s="51">
        <f>G66-F66</f>
        <v>52650</v>
      </c>
      <c r="I66" s="52">
        <f>H66/G66</f>
        <v>0.6</v>
      </c>
      <c r="J66" s="53" t="n"/>
      <c r="K66" s="54" t="n"/>
    </row>
    <row r="67">
      <c r="A67" s="39" t="inlineStr">
        <is>
          <t>Al Haramain</t>
        </is>
      </c>
      <c r="B67" s="47" t="inlineStr">
        <is>
          <t>AL HARAMAIN OLAF EDP 30ML</t>
        </is>
      </c>
      <c r="C67" s="48" t="n">
        <v>30</v>
      </c>
      <c r="D67" s="49" t="inlineStr">
        <is>
          <t>Árabe</t>
        </is>
      </c>
      <c r="E67" s="50" t="n">
        <v>11</v>
      </c>
      <c r="F67" s="51">
        <f>E67*$B$5*(1+$B$6)</f>
        <v>14300</v>
      </c>
      <c r="G67" s="51">
        <f>F67*$B$7</f>
        <v>35750</v>
      </c>
      <c r="H67" s="51">
        <f>G67-F67</f>
        <v>21450</v>
      </c>
      <c r="I67" s="52">
        <f>H67/G67</f>
        <v>0.6</v>
      </c>
      <c r="J67" s="53" t="n"/>
      <c r="K67" s="54" t="n"/>
    </row>
    <row r="68">
      <c r="A68" s="39" t="inlineStr">
        <is>
          <t>Al Haramain</t>
        </is>
      </c>
      <c r="B68" s="47" t="inlineStr">
        <is>
          <t>AL HARAMAIN OUD NOMAD EDP 100ML</t>
        </is>
      </c>
      <c r="C68" s="48" t="n">
        <v>100</v>
      </c>
      <c r="D68" s="49" t="inlineStr">
        <is>
          <t>Árabe</t>
        </is>
      </c>
      <c r="E68" s="50" t="n">
        <v>28</v>
      </c>
      <c r="F68" s="51">
        <f>E68*$B$5*(1+$B$6)</f>
        <v>36400</v>
      </c>
      <c r="G68" s="51">
        <f>F68*$B$7</f>
        <v>91000</v>
      </c>
      <c r="H68" s="51">
        <f>G68-F68</f>
        <v>54600</v>
      </c>
      <c r="I68" s="52">
        <f>H68/G68</f>
        <v>0.6</v>
      </c>
      <c r="J68" s="53" t="n"/>
      <c r="K68" s="54" t="n"/>
    </row>
    <row r="69">
      <c r="A69" s="39" t="inlineStr">
        <is>
          <t>Al Haramain</t>
        </is>
      </c>
      <c r="B69" s="47" t="inlineStr">
        <is>
          <t>AL HARAMAIN PALM DUBAI EXTRAIT DE PARFUM 100ML</t>
        </is>
      </c>
      <c r="C69" s="48" t="n">
        <v>100</v>
      </c>
      <c r="D69" s="49" t="inlineStr">
        <is>
          <t>Árabe</t>
        </is>
      </c>
      <c r="E69" s="50" t="n">
        <v>25</v>
      </c>
      <c r="F69" s="51">
        <f>E69*$B$5*(1+$B$6)</f>
        <v>32500</v>
      </c>
      <c r="G69" s="51">
        <f>F69*$B$7</f>
        <v>81250</v>
      </c>
      <c r="H69" s="51">
        <f>G69-F69</f>
        <v>48750</v>
      </c>
      <c r="I69" s="52">
        <f>H69/G69</f>
        <v>0.6</v>
      </c>
      <c r="J69" s="53" t="n"/>
      <c r="K69" s="54" t="n"/>
    </row>
    <row r="70">
      <c r="A70" s="39" t="inlineStr">
        <is>
          <t>Al Haramain</t>
        </is>
      </c>
      <c r="B70" s="47" t="inlineStr">
        <is>
          <t>AL HARAMAIN PORTFOLIO CUPID'S ROSE 75ML</t>
        </is>
      </c>
      <c r="C70" s="48" t="n">
        <v>75</v>
      </c>
      <c r="D70" s="49" t="inlineStr">
        <is>
          <t>Árabe</t>
        </is>
      </c>
      <c r="E70" s="50" t="n">
        <v>46</v>
      </c>
      <c r="F70" s="51">
        <f>E70*$B$5*(1+$B$6)</f>
        <v>59800</v>
      </c>
      <c r="G70" s="51">
        <f>F70*$B$7</f>
        <v>149500</v>
      </c>
      <c r="H70" s="51">
        <f>G70-F70</f>
        <v>89700</v>
      </c>
      <c r="I70" s="52">
        <f>H70/G70</f>
        <v>0.6</v>
      </c>
      <c r="J70" s="53" t="n"/>
      <c r="K70" s="54" t="n"/>
    </row>
    <row r="71">
      <c r="A71" s="39" t="inlineStr">
        <is>
          <t>Al Haramain</t>
        </is>
      </c>
      <c r="B71" s="47" t="inlineStr">
        <is>
          <t>AL HARAMAIN PORTFOLIO EUPHORIC ROOTS 75ML</t>
        </is>
      </c>
      <c r="C71" s="48" t="n">
        <v>75</v>
      </c>
      <c r="D71" s="49" t="inlineStr">
        <is>
          <t>Árabe</t>
        </is>
      </c>
      <c r="E71" s="50" t="n">
        <v>48.99</v>
      </c>
      <c r="F71" s="51">
        <f>E71*$B$5*(1+$B$6)</f>
        <v>63687</v>
      </c>
      <c r="G71" s="51">
        <f>F71*$B$7</f>
        <v>159217.5</v>
      </c>
      <c r="H71" s="51">
        <f>G71-F71</f>
        <v>95530.5</v>
      </c>
      <c r="I71" s="52">
        <f>H71/G71</f>
        <v>0.6</v>
      </c>
      <c r="J71" s="53" t="n"/>
      <c r="K71" s="54" t="n"/>
    </row>
    <row r="72">
      <c r="A72" s="39" t="inlineStr">
        <is>
          <t>Al Haramain</t>
        </is>
      </c>
      <c r="B72" s="47" t="inlineStr">
        <is>
          <t>AL HARAMAIN PORTFOLIO FLORAL SCULPTURE 75ML</t>
        </is>
      </c>
      <c r="C72" s="48" t="n">
        <v>75</v>
      </c>
      <c r="D72" s="49" t="inlineStr">
        <is>
          <t>Árabe</t>
        </is>
      </c>
      <c r="E72" s="50" t="n">
        <v>46</v>
      </c>
      <c r="F72" s="51">
        <f>E72*$B$5*(1+$B$6)</f>
        <v>59800</v>
      </c>
      <c r="G72" s="51">
        <f>F72*$B$7</f>
        <v>149500</v>
      </c>
      <c r="H72" s="51">
        <f>G72-F72</f>
        <v>89700</v>
      </c>
      <c r="I72" s="52">
        <f>H72/G72</f>
        <v>0.6</v>
      </c>
      <c r="J72" s="53" t="n"/>
      <c r="K72" s="54" t="n"/>
    </row>
    <row r="73">
      <c r="A73" s="39" t="inlineStr">
        <is>
          <t>Al Haramain</t>
        </is>
      </c>
      <c r="B73" s="47" t="inlineStr">
        <is>
          <t>AL HARAMAIN PORTFOLIO ROYALE STALLION 75ML</t>
        </is>
      </c>
      <c r="C73" s="48" t="n">
        <v>75</v>
      </c>
      <c r="D73" s="49" t="inlineStr">
        <is>
          <t>Árabe</t>
        </is>
      </c>
      <c r="E73" s="50" t="n">
        <v>52</v>
      </c>
      <c r="F73" s="51">
        <f>E73*$B$5*(1+$B$6)</f>
        <v>67600</v>
      </c>
      <c r="G73" s="51">
        <f>F73*$B$7</f>
        <v>169000</v>
      </c>
      <c r="H73" s="51">
        <f>G73-F73</f>
        <v>101400</v>
      </c>
      <c r="I73" s="52">
        <f>H73/G73</f>
        <v>0.6</v>
      </c>
      <c r="J73" s="53" t="n"/>
      <c r="K73" s="54" t="n"/>
    </row>
    <row r="74">
      <c r="A74" s="39" t="inlineStr">
        <is>
          <t>Al Haramain</t>
        </is>
      </c>
      <c r="B74" s="47" t="inlineStr">
        <is>
          <t>AL HARAMAIN SHEIKH KNIGHT EXTRAIT DE PARFUM 100ML</t>
        </is>
      </c>
      <c r="C74" s="48" t="n">
        <v>100</v>
      </c>
      <c r="D74" s="49" t="inlineStr">
        <is>
          <t>Árabe</t>
        </is>
      </c>
      <c r="E74" s="50" t="n">
        <v>130</v>
      </c>
      <c r="F74" s="51">
        <f>E74*$B$5*(1+$B$6)</f>
        <v>169000</v>
      </c>
      <c r="G74" s="51">
        <f>F74*$B$7</f>
        <v>422500</v>
      </c>
      <c r="H74" s="51">
        <f>G74-F74</f>
        <v>253500</v>
      </c>
      <c r="I74" s="52">
        <f>H74/G74</f>
        <v>0.6</v>
      </c>
      <c r="J74" s="53" t="n"/>
      <c r="K74" s="54" t="n"/>
    </row>
    <row r="75">
      <c r="A75" s="39" t="inlineStr">
        <is>
          <t>Al Haramain</t>
        </is>
      </c>
      <c r="B75" s="47" t="inlineStr">
        <is>
          <t>AL HARAMAIN SHEIKH MAJESTIC EXTRAIT DE PARFUM 100ML</t>
        </is>
      </c>
      <c r="C75" s="48" t="n">
        <v>100</v>
      </c>
      <c r="D75" s="49" t="inlineStr">
        <is>
          <t>Árabe</t>
        </is>
      </c>
      <c r="E75" s="50" t="n">
        <v>130</v>
      </c>
      <c r="F75" s="51">
        <f>E75*$B$5*(1+$B$6)</f>
        <v>169000</v>
      </c>
      <c r="G75" s="51">
        <f>F75*$B$7</f>
        <v>422500</v>
      </c>
      <c r="H75" s="51">
        <f>G75-F75</f>
        <v>253500</v>
      </c>
      <c r="I75" s="52">
        <f>H75/G75</f>
        <v>0.6</v>
      </c>
      <c r="J75" s="53" t="n"/>
      <c r="K75" s="54" t="n"/>
    </row>
    <row r="76">
      <c r="A76" s="39" t="inlineStr">
        <is>
          <t>Al Haramain</t>
        </is>
      </c>
      <c r="B76" s="47" t="inlineStr">
        <is>
          <t>AL HARAMAIN SHEIKH PRESTIGE TRAVEL PACK WITH TUBE COVER + 4 TUBE BLACK</t>
        </is>
      </c>
      <c r="C76" s="48" t="n"/>
      <c r="D76" s="49" t="inlineStr">
        <is>
          <t>Árabe</t>
        </is>
      </c>
      <c r="E76" s="50" t="n">
        <v>65</v>
      </c>
      <c r="F76" s="51">
        <f>E76*$B$5*(1+$B$6)</f>
        <v>84500</v>
      </c>
      <c r="G76" s="51">
        <f>F76*$B$7</f>
        <v>211250</v>
      </c>
      <c r="H76" s="51">
        <f>G76-F76</f>
        <v>126750</v>
      </c>
      <c r="I76" s="52">
        <f>H76/G76</f>
        <v>0.6</v>
      </c>
      <c r="J76" s="53" t="n"/>
      <c r="K76" s="54" t="n"/>
    </row>
    <row r="77">
      <c r="A77" s="39" t="inlineStr">
        <is>
          <t>Al Haramain</t>
        </is>
      </c>
      <c r="B77" s="47" t="inlineStr">
        <is>
          <t>AL HARAMAIN SHEIKH PRESTIGE TRAVEL PACK WITH TUBE COVER + 4 TUBE BLUE</t>
        </is>
      </c>
      <c r="C77" s="48" t="n"/>
      <c r="D77" s="49" t="inlineStr">
        <is>
          <t>Árabe</t>
        </is>
      </c>
      <c r="E77" s="50" t="n">
        <v>65</v>
      </c>
      <c r="F77" s="51">
        <f>E77*$B$5*(1+$B$6)</f>
        <v>84500</v>
      </c>
      <c r="G77" s="51">
        <f>F77*$B$7</f>
        <v>211250</v>
      </c>
      <c r="H77" s="51">
        <f>G77-F77</f>
        <v>126750</v>
      </c>
      <c r="I77" s="52">
        <f>H77/G77</f>
        <v>0.6</v>
      </c>
      <c r="J77" s="53" t="n"/>
      <c r="K77" s="54" t="n"/>
    </row>
    <row r="78">
      <c r="A78" s="39" t="inlineStr">
        <is>
          <t>Al Haramain</t>
        </is>
      </c>
      <c r="B78" s="47" t="inlineStr">
        <is>
          <t>AL HARAMAIN SHEIKH PRESTIGE TRAVEL PACK WITH TUBE COVER + 4 TUBE GREEN</t>
        </is>
      </c>
      <c r="C78" s="48" t="n"/>
      <c r="D78" s="49" t="inlineStr">
        <is>
          <t>Árabe</t>
        </is>
      </c>
      <c r="E78" s="50" t="n">
        <v>65</v>
      </c>
      <c r="F78" s="51">
        <f>E78*$B$5*(1+$B$6)</f>
        <v>84500</v>
      </c>
      <c r="G78" s="51">
        <f>F78*$B$7</f>
        <v>211250</v>
      </c>
      <c r="H78" s="51">
        <f>G78-F78</f>
        <v>126750</v>
      </c>
      <c r="I78" s="52">
        <f>H78/G78</f>
        <v>0.6</v>
      </c>
      <c r="J78" s="53" t="n"/>
      <c r="K78" s="54" t="n"/>
    </row>
    <row r="79">
      <c r="A79" s="39" t="inlineStr">
        <is>
          <t>Al Haramain</t>
        </is>
      </c>
      <c r="B79" s="47" t="inlineStr">
        <is>
          <t>AL HARAMAIN SHEIKH PRESTIGE TRAVEL PACK WITH TUBE COVER + 4 TUBE RED</t>
        </is>
      </c>
      <c r="C79" s="48" t="n"/>
      <c r="D79" s="49" t="inlineStr">
        <is>
          <t>Árabe</t>
        </is>
      </c>
      <c r="E79" s="50" t="n">
        <v>65</v>
      </c>
      <c r="F79" s="51">
        <f>E79*$B$5*(1+$B$6)</f>
        <v>84500</v>
      </c>
      <c r="G79" s="51">
        <f>F79*$B$7</f>
        <v>211250</v>
      </c>
      <c r="H79" s="51">
        <f>G79-F79</f>
        <v>126750</v>
      </c>
      <c r="I79" s="52">
        <f>H79/G79</f>
        <v>0.6</v>
      </c>
      <c r="J79" s="53" t="n"/>
      <c r="K79" s="54" t="n"/>
    </row>
    <row r="80">
      <c r="A80" s="39" t="inlineStr">
        <is>
          <t>Al Haramain</t>
        </is>
      </c>
      <c r="B80" s="47" t="inlineStr">
        <is>
          <t>AL HARAMAIN SHEIKH ROYAL EXTRAIT DE PARFUM 100ML</t>
        </is>
      </c>
      <c r="C80" s="48" t="n">
        <v>100</v>
      </c>
      <c r="D80" s="49" t="inlineStr">
        <is>
          <t>Árabe</t>
        </is>
      </c>
      <c r="E80" s="50" t="n">
        <v>130</v>
      </c>
      <c r="F80" s="51">
        <f>E80*$B$5*(1+$B$6)</f>
        <v>169000</v>
      </c>
      <c r="G80" s="51">
        <f>F80*$B$7</f>
        <v>422500</v>
      </c>
      <c r="H80" s="51">
        <f>G80-F80</f>
        <v>253500</v>
      </c>
      <c r="I80" s="52">
        <f>H80/G80</f>
        <v>0.6</v>
      </c>
      <c r="J80" s="53" t="n"/>
      <c r="K80" s="54" t="n"/>
    </row>
    <row r="81">
      <c r="A81" s="39" t="inlineStr">
        <is>
          <t>Al Haramain</t>
        </is>
      </c>
      <c r="B81" s="47" t="inlineStr">
        <is>
          <t>AL HARAMAIN SHEIKH WARRIOR EXTRAIT DE PARFUM 100ML</t>
        </is>
      </c>
      <c r="C81" s="48" t="n">
        <v>100</v>
      </c>
      <c r="D81" s="49" t="inlineStr">
        <is>
          <t>Árabe</t>
        </is>
      </c>
      <c r="E81" s="50" t="n">
        <v>130</v>
      </c>
      <c r="F81" s="51">
        <f>E81*$B$5*(1+$B$6)</f>
        <v>169000</v>
      </c>
      <c r="G81" s="51">
        <f>F81*$B$7</f>
        <v>422500</v>
      </c>
      <c r="H81" s="51">
        <f>G81-F81</f>
        <v>253500</v>
      </c>
      <c r="I81" s="52">
        <f>H81/G81</f>
        <v>0.6</v>
      </c>
      <c r="J81" s="53" t="n"/>
      <c r="K81" s="54" t="n"/>
    </row>
    <row r="82">
      <c r="A82" s="39" t="inlineStr">
        <is>
          <t>Al Haramain</t>
        </is>
      </c>
      <c r="B82" s="47" t="inlineStr">
        <is>
          <t>AL HARAMAIN VERGINE ROSA EDP 100ML</t>
        </is>
      </c>
      <c r="C82" s="48" t="n">
        <v>100</v>
      </c>
      <c r="D82" s="49" t="inlineStr">
        <is>
          <t>Árabe</t>
        </is>
      </c>
      <c r="E82" s="50" t="n">
        <v>41</v>
      </c>
      <c r="F82" s="51">
        <f>E82*$B$5*(1+$B$6)</f>
        <v>53300</v>
      </c>
      <c r="G82" s="51">
        <f>F82*$B$7</f>
        <v>133250</v>
      </c>
      <c r="H82" s="51">
        <f>G82-F82</f>
        <v>79950</v>
      </c>
      <c r="I82" s="52">
        <f>H82/G82</f>
        <v>0.6</v>
      </c>
      <c r="J82" s="53" t="n"/>
      <c r="K82" s="54" t="n"/>
    </row>
    <row r="83">
      <c r="A83" s="39" t="inlineStr">
        <is>
          <t>Al Wataniah</t>
        </is>
      </c>
      <c r="B83" s="47" t="inlineStr">
        <is>
          <t>AL WATANIAH AL DAIEM EDP 75ML</t>
        </is>
      </c>
      <c r="C83" s="48" t="n">
        <v>75</v>
      </c>
      <c r="D83" s="49" t="inlineStr">
        <is>
          <t>Árabe</t>
        </is>
      </c>
      <c r="E83" s="50" t="n">
        <v>23.5</v>
      </c>
      <c r="F83" s="51">
        <f>E83*$B$5*(1+$B$6)</f>
        <v>30550</v>
      </c>
      <c r="G83" s="51">
        <f>F83*$B$7</f>
        <v>76375</v>
      </c>
      <c r="H83" s="51">
        <f>G83-F83</f>
        <v>45825</v>
      </c>
      <c r="I83" s="52">
        <f>H83/G83</f>
        <v>0.6</v>
      </c>
      <c r="J83" s="53" t="n"/>
      <c r="K83" s="54" t="n"/>
    </row>
    <row r="84">
      <c r="A84" s="39" t="inlineStr">
        <is>
          <t>Al Wataniah</t>
        </is>
      </c>
      <c r="B84" s="47" t="inlineStr">
        <is>
          <t>AL WATANIAH AL DAIEM ELIXIR EDP 75ML</t>
        </is>
      </c>
      <c r="C84" s="48" t="n">
        <v>75</v>
      </c>
      <c r="D84" s="49" t="inlineStr">
        <is>
          <t>Árabe</t>
        </is>
      </c>
      <c r="E84" s="50" t="n">
        <v>23.5</v>
      </c>
      <c r="F84" s="51">
        <f>E84*$B$5*(1+$B$6)</f>
        <v>30550</v>
      </c>
      <c r="G84" s="51">
        <f>F84*$B$7</f>
        <v>76375</v>
      </c>
      <c r="H84" s="51">
        <f>G84-F84</f>
        <v>45825</v>
      </c>
      <c r="I84" s="52">
        <f>H84/G84</f>
        <v>0.6</v>
      </c>
      <c r="J84" s="53" t="n"/>
      <c r="K84" s="54" t="n"/>
    </row>
    <row r="85">
      <c r="A85" s="39" t="inlineStr">
        <is>
          <t>Al Wataniah</t>
        </is>
      </c>
      <c r="B85" s="47" t="inlineStr">
        <is>
          <t>AL WATANIAH AMEERATI EDP 100ML FEM</t>
        </is>
      </c>
      <c r="C85" s="48" t="n">
        <v>100</v>
      </c>
      <c r="D85" s="49" t="inlineStr">
        <is>
          <t>Árabe</t>
        </is>
      </c>
      <c r="E85" s="50" t="n">
        <v>11.99</v>
      </c>
      <c r="F85" s="51">
        <f>E85*$B$5*(1+$B$6)</f>
        <v>15587</v>
      </c>
      <c r="G85" s="51">
        <f>F85*$B$7</f>
        <v>38967.5</v>
      </c>
      <c r="H85" s="51">
        <f>G85-F85</f>
        <v>23380.5</v>
      </c>
      <c r="I85" s="52">
        <f>H85/G85</f>
        <v>0.6</v>
      </c>
      <c r="J85" s="53" t="n"/>
      <c r="K85" s="54" t="n"/>
    </row>
    <row r="86">
      <c r="A86" s="39" t="inlineStr">
        <is>
          <t>Al Wataniah</t>
        </is>
      </c>
      <c r="B86" s="47" t="inlineStr">
        <is>
          <t>AL WATANIAH AMETHYST EDP 100ML</t>
        </is>
      </c>
      <c r="C86" s="48" t="n">
        <v>100</v>
      </c>
      <c r="D86" s="49" t="inlineStr">
        <is>
          <t>Árabe</t>
        </is>
      </c>
      <c r="E86" s="50" t="n">
        <v>9.75</v>
      </c>
      <c r="F86" s="51">
        <f>E86*$B$5*(1+$B$6)</f>
        <v>12675</v>
      </c>
      <c r="G86" s="51">
        <f>F86*$B$7</f>
        <v>31687.5</v>
      </c>
      <c r="H86" s="51">
        <f>G86-F86</f>
        <v>19012.5</v>
      </c>
      <c r="I86" s="52">
        <f>H86/G86</f>
        <v>0.6</v>
      </c>
      <c r="J86" s="53" t="n"/>
      <c r="K86" s="54" t="n"/>
    </row>
    <row r="87">
      <c r="A87" s="39" t="inlineStr">
        <is>
          <t>Al Wataniah</t>
        </is>
      </c>
      <c r="B87" s="47" t="inlineStr">
        <is>
          <t>AL WATANIAH ATTAR AL WESAL GOLD EDP 100ML</t>
        </is>
      </c>
      <c r="C87" s="48" t="n">
        <v>100</v>
      </c>
      <c r="D87" s="49" t="inlineStr">
        <is>
          <t>Árabe</t>
        </is>
      </c>
      <c r="E87" s="50" t="n">
        <v>25</v>
      </c>
      <c r="F87" s="51">
        <f>E87*$B$5*(1+$B$6)</f>
        <v>32500</v>
      </c>
      <c r="G87" s="51">
        <f>F87*$B$7</f>
        <v>81250</v>
      </c>
      <c r="H87" s="51">
        <f>G87-F87</f>
        <v>48750</v>
      </c>
      <c r="I87" s="52">
        <f>H87/G87</f>
        <v>0.6</v>
      </c>
      <c r="J87" s="53" t="n"/>
      <c r="K87" s="54" t="n"/>
    </row>
    <row r="88">
      <c r="A88" s="39" t="inlineStr">
        <is>
          <t>Al Wataniah</t>
        </is>
      </c>
      <c r="B88" s="47" t="inlineStr">
        <is>
          <t>AL WATANIAH DURRAT AL AROOS EDP 85ML</t>
        </is>
      </c>
      <c r="C88" s="48" t="n">
        <v>85</v>
      </c>
      <c r="D88" s="49" t="inlineStr">
        <is>
          <t>Árabe</t>
        </is>
      </c>
      <c r="E88" s="50" t="n">
        <v>12</v>
      </c>
      <c r="F88" s="51">
        <f>E88*$B$5*(1+$B$6)</f>
        <v>15600</v>
      </c>
      <c r="G88" s="51">
        <f>F88*$B$7</f>
        <v>39000</v>
      </c>
      <c r="H88" s="51">
        <f>G88-F88</f>
        <v>23400</v>
      </c>
      <c r="I88" s="52">
        <f>H88/G88</f>
        <v>0.6</v>
      </c>
      <c r="J88" s="53" t="n"/>
      <c r="K88" s="54" t="n"/>
    </row>
    <row r="89">
      <c r="A89" s="39" t="inlineStr">
        <is>
          <t>Al Wataniah</t>
        </is>
      </c>
      <c r="B89" s="47" t="inlineStr">
        <is>
          <t>AL WATANIAH DURRAT AL AROOS LOVE EDP 85ML</t>
        </is>
      </c>
      <c r="C89" s="48" t="n">
        <v>85</v>
      </c>
      <c r="D89" s="49" t="inlineStr">
        <is>
          <t>Árabe</t>
        </is>
      </c>
      <c r="E89" s="50" t="n">
        <v>23.5</v>
      </c>
      <c r="F89" s="51">
        <f>E89*$B$5*(1+$B$6)</f>
        <v>30550</v>
      </c>
      <c r="G89" s="51">
        <f>F89*$B$7</f>
        <v>76375</v>
      </c>
      <c r="H89" s="51">
        <f>G89-F89</f>
        <v>45825</v>
      </c>
      <c r="I89" s="52">
        <f>H89/G89</f>
        <v>0.6</v>
      </c>
      <c r="J89" s="53" t="n"/>
      <c r="K89" s="54" t="n"/>
    </row>
    <row r="90">
      <c r="A90" s="39" t="inlineStr">
        <is>
          <t>Al Wataniah</t>
        </is>
      </c>
      <c r="B90" s="47" t="inlineStr">
        <is>
          <t>AL WATANIAH ROWAN BLUSH EDP 100ML</t>
        </is>
      </c>
      <c r="C90" s="48" t="n">
        <v>100</v>
      </c>
      <c r="D90" s="49" t="inlineStr">
        <is>
          <t>Árabe</t>
        </is>
      </c>
      <c r="E90" s="50" t="n">
        <v>23.5</v>
      </c>
      <c r="F90" s="51">
        <f>E90*$B$5*(1+$B$6)</f>
        <v>30550</v>
      </c>
      <c r="G90" s="51">
        <f>F90*$B$7</f>
        <v>76375</v>
      </c>
      <c r="H90" s="51">
        <f>G90-F90</f>
        <v>45825</v>
      </c>
      <c r="I90" s="52">
        <f>H90/G90</f>
        <v>0.6</v>
      </c>
      <c r="J90" s="53" t="n"/>
      <c r="K90" s="54" t="n"/>
    </row>
    <row r="91">
      <c r="A91" s="39" t="inlineStr">
        <is>
          <t>Al Wataniah</t>
        </is>
      </c>
      <c r="B91" s="47" t="inlineStr">
        <is>
          <t>AL WATANIAH ROWAN ELAN EDP 100ML</t>
        </is>
      </c>
      <c r="C91" s="48" t="n">
        <v>100</v>
      </c>
      <c r="D91" s="49" t="inlineStr">
        <is>
          <t>Árabe</t>
        </is>
      </c>
      <c r="E91" s="50" t="n">
        <v>23.5</v>
      </c>
      <c r="F91" s="51">
        <f>E91*$B$5*(1+$B$6)</f>
        <v>30550</v>
      </c>
      <c r="G91" s="51">
        <f>F91*$B$7</f>
        <v>76375</v>
      </c>
      <c r="H91" s="51">
        <f>G91-F91</f>
        <v>45825</v>
      </c>
      <c r="I91" s="52">
        <f>H91/G91</f>
        <v>0.6</v>
      </c>
      <c r="J91" s="53" t="n"/>
      <c r="K91" s="54" t="n"/>
    </row>
    <row r="92">
      <c r="A92" s="39" t="inlineStr">
        <is>
          <t>Al Wataniah</t>
        </is>
      </c>
      <c r="B92" s="47" t="inlineStr">
        <is>
          <t>AL WATANIAH ROWAN NECTAR EDP 100ML</t>
        </is>
      </c>
      <c r="C92" s="48" t="n">
        <v>100</v>
      </c>
      <c r="D92" s="49" t="inlineStr">
        <is>
          <t>Árabe</t>
        </is>
      </c>
      <c r="E92" s="50" t="n">
        <v>23.5</v>
      </c>
      <c r="F92" s="51">
        <f>E92*$B$5*(1+$B$6)</f>
        <v>30550</v>
      </c>
      <c r="G92" s="51">
        <f>F92*$B$7</f>
        <v>76375</v>
      </c>
      <c r="H92" s="51">
        <f>G92-F92</f>
        <v>45825</v>
      </c>
      <c r="I92" s="52">
        <f>H92/G92</f>
        <v>0.6</v>
      </c>
      <c r="J92" s="53" t="n"/>
      <c r="K92" s="54" t="n"/>
    </row>
    <row r="93">
      <c r="A93" s="39" t="inlineStr">
        <is>
          <t>Al Wataniah</t>
        </is>
      </c>
      <c r="B93" s="47" t="inlineStr">
        <is>
          <t>AL WATANIAH ROWAN ROSE EDP 100ML</t>
        </is>
      </c>
      <c r="C93" s="48" t="n">
        <v>100</v>
      </c>
      <c r="D93" s="49" t="inlineStr">
        <is>
          <t>Árabe</t>
        </is>
      </c>
      <c r="E93" s="50" t="n">
        <v>23.5</v>
      </c>
      <c r="F93" s="51">
        <f>E93*$B$5*(1+$B$6)</f>
        <v>30550</v>
      </c>
      <c r="G93" s="51">
        <f>F93*$B$7</f>
        <v>76375</v>
      </c>
      <c r="H93" s="51">
        <f>G93-F93</f>
        <v>45825</v>
      </c>
      <c r="I93" s="52">
        <f>H93/G93</f>
        <v>0.6</v>
      </c>
      <c r="J93" s="53" t="n"/>
      <c r="K93" s="54" t="n"/>
    </row>
    <row r="94">
      <c r="A94" s="39" t="inlineStr">
        <is>
          <t>Al Wataniah</t>
        </is>
      </c>
      <c r="B94" s="47" t="inlineStr">
        <is>
          <t>AL WATANIAH SABAH AL WARD EDP 100ML FEM</t>
        </is>
      </c>
      <c r="C94" s="48" t="n">
        <v>100</v>
      </c>
      <c r="D94" s="49" t="inlineStr">
        <is>
          <t>Árabe</t>
        </is>
      </c>
      <c r="E94" s="50" t="n">
        <v>12.5</v>
      </c>
      <c r="F94" s="51">
        <f>E94*$B$5*(1+$B$6)</f>
        <v>16250</v>
      </c>
      <c r="G94" s="51">
        <f>F94*$B$7</f>
        <v>40625</v>
      </c>
      <c r="H94" s="51">
        <f>G94-F94</f>
        <v>24375</v>
      </c>
      <c r="I94" s="52">
        <f>H94/G94</f>
        <v>0.6</v>
      </c>
      <c r="J94" s="53" t="n"/>
      <c r="K94" s="54" t="n"/>
    </row>
    <row r="95">
      <c r="A95" s="39" t="inlineStr">
        <is>
          <t>Al Wataniah</t>
        </is>
      </c>
      <c r="B95" s="47" t="inlineStr">
        <is>
          <t>AL WATANIAH SABAH AL WARD GARDEN OF EDEN EDP 100ML</t>
        </is>
      </c>
      <c r="C95" s="48" t="n">
        <v>100</v>
      </c>
      <c r="D95" s="49" t="inlineStr">
        <is>
          <t>Árabe</t>
        </is>
      </c>
      <c r="E95" s="50" t="n">
        <v>25</v>
      </c>
      <c r="F95" s="51">
        <f>E95*$B$5*(1+$B$6)</f>
        <v>32500</v>
      </c>
      <c r="G95" s="51">
        <f>F95*$B$7</f>
        <v>81250</v>
      </c>
      <c r="H95" s="51">
        <f>G95-F95</f>
        <v>48750</v>
      </c>
      <c r="I95" s="52">
        <f>H95/G95</f>
        <v>0.6</v>
      </c>
      <c r="J95" s="53" t="n"/>
      <c r="K95" s="54" t="n"/>
    </row>
    <row r="96">
      <c r="A96" s="39" t="inlineStr">
        <is>
          <t>Al Wataniah</t>
        </is>
      </c>
      <c r="B96" s="47" t="inlineStr">
        <is>
          <t>AL WATANIAH SABAH AL WARD SUGAR EDP 100ML FEM</t>
        </is>
      </c>
      <c r="C96" s="48" t="n">
        <v>100</v>
      </c>
      <c r="D96" s="49" t="inlineStr">
        <is>
          <t>Árabe</t>
        </is>
      </c>
      <c r="E96" s="50" t="n">
        <v>11.5</v>
      </c>
      <c r="F96" s="51">
        <f>E96*$B$5*(1+$B$6)</f>
        <v>14950</v>
      </c>
      <c r="G96" s="51">
        <f>F96*$B$7</f>
        <v>37375</v>
      </c>
      <c r="H96" s="51">
        <f>G96-F96</f>
        <v>22425</v>
      </c>
      <c r="I96" s="52">
        <f>H96/G96</f>
        <v>0.6</v>
      </c>
      <c r="J96" s="53" t="n"/>
      <c r="K96" s="54" t="n"/>
    </row>
    <row r="97">
      <c r="A97" s="39" t="inlineStr">
        <is>
          <t>Al Wataniah</t>
        </is>
      </c>
      <c r="B97" s="47" t="inlineStr">
        <is>
          <t>AL WATANIAH SABAH AL WARD VALENTINE EDP 100ML FEM</t>
        </is>
      </c>
      <c r="C97" s="48" t="n">
        <v>100</v>
      </c>
      <c r="D97" s="49" t="inlineStr">
        <is>
          <t>Árabe</t>
        </is>
      </c>
      <c r="E97" s="50" t="n">
        <v>23.5</v>
      </c>
      <c r="F97" s="51">
        <f>E97*$B$5*(1+$B$6)</f>
        <v>30550</v>
      </c>
      <c r="G97" s="51">
        <f>F97*$B$7</f>
        <v>76375</v>
      </c>
      <c r="H97" s="51">
        <f>G97-F97</f>
        <v>45825</v>
      </c>
      <c r="I97" s="52">
        <f>H97/G97</f>
        <v>0.6</v>
      </c>
      <c r="J97" s="53" t="n"/>
      <c r="K97" s="54" t="n"/>
    </row>
    <row r="98">
      <c r="A98" s="39" t="inlineStr">
        <is>
          <t>Al Wataniah</t>
        </is>
      </c>
      <c r="B98" s="47" t="inlineStr">
        <is>
          <t>AL WATANIAH SHAGAF AL WARD EDP 100ML</t>
        </is>
      </c>
      <c r="C98" s="48" t="n">
        <v>100</v>
      </c>
      <c r="D98" s="49" t="inlineStr">
        <is>
          <t>Árabe</t>
        </is>
      </c>
      <c r="E98" s="50" t="n">
        <v>12.5</v>
      </c>
      <c r="F98" s="51">
        <f>E98*$B$5*(1+$B$6)</f>
        <v>16250</v>
      </c>
      <c r="G98" s="51">
        <f>F98*$B$7</f>
        <v>40625</v>
      </c>
      <c r="H98" s="51">
        <f>G98-F98</f>
        <v>24375</v>
      </c>
      <c r="I98" s="52">
        <f>H98/G98</f>
        <v>0.6</v>
      </c>
      <c r="J98" s="53" t="n"/>
      <c r="K98" s="54" t="n"/>
    </row>
    <row r="99">
      <c r="A99" s="39" t="inlineStr">
        <is>
          <t>Al Wataniah</t>
        </is>
      </c>
      <c r="B99" s="47" t="inlineStr">
        <is>
          <t>AL WATANIAH TIARA PINK EDP 100ML</t>
        </is>
      </c>
      <c r="C99" s="48" t="n">
        <v>100</v>
      </c>
      <c r="D99" s="49" t="inlineStr">
        <is>
          <t>Árabe</t>
        </is>
      </c>
      <c r="E99" s="50" t="n">
        <v>12</v>
      </c>
      <c r="F99" s="51">
        <f>E99*$B$5*(1+$B$6)</f>
        <v>15600</v>
      </c>
      <c r="G99" s="51">
        <f>F99*$B$7</f>
        <v>39000</v>
      </c>
      <c r="H99" s="51">
        <f>G99-F99</f>
        <v>23400</v>
      </c>
      <c r="I99" s="52">
        <f>H99/G99</f>
        <v>0.6</v>
      </c>
      <c r="J99" s="53" t="n"/>
      <c r="K99" s="54" t="n"/>
    </row>
    <row r="100">
      <c r="A100" s="39" t="inlineStr">
        <is>
          <t>Al Wataniah</t>
        </is>
      </c>
      <c r="B100" s="47" t="inlineStr">
        <is>
          <t>AL WATANIAH WATANI PINK EDP 100ML FEMININO</t>
        </is>
      </c>
      <c r="C100" s="48" t="n">
        <v>100</v>
      </c>
      <c r="D100" s="49" t="inlineStr">
        <is>
          <t>Árabe</t>
        </is>
      </c>
      <c r="E100" s="50" t="n">
        <v>25.5</v>
      </c>
      <c r="F100" s="51">
        <f>E100*$B$5*(1+$B$6)</f>
        <v>33150</v>
      </c>
      <c r="G100" s="51">
        <f>F100*$B$7</f>
        <v>82875</v>
      </c>
      <c r="H100" s="51">
        <f>G100-F100</f>
        <v>49725</v>
      </c>
      <c r="I100" s="52">
        <f>H100/G100</f>
        <v>0.6</v>
      </c>
      <c r="J100" s="53" t="n"/>
      <c r="K100" s="54" t="n"/>
    </row>
    <row r="101">
      <c r="A101" s="39" t="inlineStr">
        <is>
          <t>Al Wataniah</t>
        </is>
      </c>
      <c r="B101" s="47" t="inlineStr">
        <is>
          <t>Ameeri EDP</t>
        </is>
      </c>
      <c r="C101" s="48" t="n">
        <v>100</v>
      </c>
      <c r="D101" s="49" t="inlineStr">
        <is>
          <t>Árabe</t>
        </is>
      </c>
      <c r="E101" s="50" t="n">
        <v>10</v>
      </c>
      <c r="F101" s="51">
        <f>E101*$B$5*(1+$B$6)</f>
        <v>13000</v>
      </c>
      <c r="G101" s="51">
        <f>F101*$B$7</f>
        <v>32500</v>
      </c>
      <c r="H101" s="51">
        <f>G101-F101</f>
        <v>19500</v>
      </c>
      <c r="I101" s="52">
        <f>H101/G101</f>
        <v>0.6</v>
      </c>
      <c r="J101" s="53" t="n"/>
      <c r="K101" s="54" t="inlineStr">
        <is>
          <t>Entrada de gama, muy barato</t>
        </is>
      </c>
    </row>
    <row r="102">
      <c r="A102" s="39" t="inlineStr">
        <is>
          <t>Al Wataniah</t>
        </is>
      </c>
      <c r="B102" s="47" t="inlineStr">
        <is>
          <t>Amnia EDP (fem)</t>
        </is>
      </c>
      <c r="C102" s="48" t="n">
        <v>100</v>
      </c>
      <c r="D102" s="49" t="inlineStr">
        <is>
          <t>Árabe</t>
        </is>
      </c>
      <c r="E102" s="50" t="n">
        <v>14</v>
      </c>
      <c r="F102" s="51">
        <f>E102*$B$5*(1+$B$6)</f>
        <v>18200</v>
      </c>
      <c r="G102" s="51">
        <f>F102*$B$7</f>
        <v>45500</v>
      </c>
      <c r="H102" s="51">
        <f>G102-F102</f>
        <v>27300</v>
      </c>
      <c r="I102" s="52">
        <f>H102/G102</f>
        <v>0.6</v>
      </c>
      <c r="J102" s="53" t="n"/>
      <c r="K102" s="54" t="n"/>
    </row>
    <row r="103">
      <c r="A103" s="39" t="inlineStr">
        <is>
          <t>Al Wataniah</t>
        </is>
      </c>
      <c r="B103" s="47" t="inlineStr">
        <is>
          <t>Attar Al Wesal EDP</t>
        </is>
      </c>
      <c r="C103" s="48" t="n">
        <v>100</v>
      </c>
      <c r="D103" s="49" t="inlineStr">
        <is>
          <t>Árabe</t>
        </is>
      </c>
      <c r="E103" s="50" t="n">
        <v>12</v>
      </c>
      <c r="F103" s="51">
        <f>E103*$B$5*(1+$B$6)</f>
        <v>15600</v>
      </c>
      <c r="G103" s="51">
        <f>F103*$B$7</f>
        <v>39000</v>
      </c>
      <c r="H103" s="51">
        <f>G103-F103</f>
        <v>23400</v>
      </c>
      <c r="I103" s="52">
        <f>H103/G103</f>
        <v>0.6</v>
      </c>
      <c r="J103" s="53" t="n"/>
      <c r="K103" s="54" t="n"/>
    </row>
    <row r="104">
      <c r="A104" s="39" t="inlineStr">
        <is>
          <t>Al Wataniah</t>
        </is>
      </c>
      <c r="B104" s="47" t="inlineStr">
        <is>
          <t>Bareeq Al Dhahab EDP</t>
        </is>
      </c>
      <c r="C104" s="48" t="n">
        <v>100</v>
      </c>
      <c r="D104" s="49" t="inlineStr">
        <is>
          <t>Árabe</t>
        </is>
      </c>
      <c r="E104" s="50" t="n">
        <v>10</v>
      </c>
      <c r="F104" s="51">
        <f>E104*$B$5*(1+$B$6)</f>
        <v>13000</v>
      </c>
      <c r="G104" s="51">
        <f>F104*$B$7</f>
        <v>32500</v>
      </c>
      <c r="H104" s="51">
        <f>G104-F104</f>
        <v>19500</v>
      </c>
      <c r="I104" s="52">
        <f>H104/G104</f>
        <v>0.6</v>
      </c>
      <c r="J104" s="53" t="n"/>
      <c r="K104" s="54" t="n"/>
    </row>
    <row r="105">
      <c r="A105" s="39" t="inlineStr">
        <is>
          <t>Al Wataniah</t>
        </is>
      </c>
      <c r="B105" s="47" t="inlineStr">
        <is>
          <t>Sabah Al Ward Delilah EDP (fem)</t>
        </is>
      </c>
      <c r="C105" s="48" t="n">
        <v>100</v>
      </c>
      <c r="D105" s="49" t="inlineStr">
        <is>
          <t>Árabe</t>
        </is>
      </c>
      <c r="E105" s="50" t="n">
        <v>23.5</v>
      </c>
      <c r="F105" s="51">
        <f>E105*$B$5*(1+$B$6)</f>
        <v>30550</v>
      </c>
      <c r="G105" s="51">
        <f>F105*$B$7</f>
        <v>76375</v>
      </c>
      <c r="H105" s="51">
        <f>G105-F105</f>
        <v>45825</v>
      </c>
      <c r="I105" s="52">
        <f>H105/G105</f>
        <v>0.6</v>
      </c>
      <c r="J105" s="53" t="n"/>
      <c r="K105" s="54" t="n"/>
    </row>
    <row r="106">
      <c r="A106" s="39" t="inlineStr">
        <is>
          <t>Al Wataniah</t>
        </is>
      </c>
      <c r="B106" s="47" t="inlineStr">
        <is>
          <t>Sultan Al Lail EDP</t>
        </is>
      </c>
      <c r="C106" s="48" t="n">
        <v>100</v>
      </c>
      <c r="D106" s="49" t="inlineStr">
        <is>
          <t>Árabe</t>
        </is>
      </c>
      <c r="E106" s="50" t="n">
        <v>11</v>
      </c>
      <c r="F106" s="51">
        <f>E106*$B$5*(1+$B$6)</f>
        <v>14300</v>
      </c>
      <c r="G106" s="51">
        <f>F106*$B$7</f>
        <v>35750</v>
      </c>
      <c r="H106" s="51">
        <f>G106-F106</f>
        <v>21450</v>
      </c>
      <c r="I106" s="52">
        <f>H106/G106</f>
        <v>0.6</v>
      </c>
      <c r="J106" s="53" t="n"/>
      <c r="K106" s="54" t="n"/>
    </row>
    <row r="107">
      <c r="A107" s="39" t="inlineStr">
        <is>
          <t>Al Wataniah</t>
        </is>
      </c>
      <c r="B107" s="47" t="inlineStr">
        <is>
          <t>Watani Purple EDP (fem)</t>
        </is>
      </c>
      <c r="C107" s="48" t="n">
        <v>100</v>
      </c>
      <c r="D107" s="49" t="inlineStr">
        <is>
          <t>Árabe</t>
        </is>
      </c>
      <c r="E107" s="50" t="n">
        <v>13</v>
      </c>
      <c r="F107" s="51">
        <f>E107*$B$5*(1+$B$6)</f>
        <v>16900</v>
      </c>
      <c r="G107" s="51">
        <f>F107*$B$7</f>
        <v>42250</v>
      </c>
      <c r="H107" s="51">
        <f>G107-F107</f>
        <v>25350</v>
      </c>
      <c r="I107" s="52">
        <f>H107/G107</f>
        <v>0.6</v>
      </c>
      <c r="J107" s="53" t="n"/>
      <c r="K107" s="54" t="n"/>
    </row>
    <row r="108">
      <c r="A108" s="39" t="inlineStr">
        <is>
          <t>Alexandre J</t>
        </is>
      </c>
      <c r="B108" s="47" t="inlineStr">
        <is>
          <t>ALEXANDRE J ORIENTAL ENIGMA EDP 100ML UNISEX</t>
        </is>
      </c>
      <c r="C108" s="48" t="n">
        <v>100</v>
      </c>
      <c r="D108" s="49" t="inlineStr">
        <is>
          <t>Nicho</t>
        </is>
      </c>
      <c r="E108" s="50" t="n">
        <v>240</v>
      </c>
      <c r="F108" s="51">
        <f>E108*$B$5*(1+$B$6)</f>
        <v>312000</v>
      </c>
      <c r="G108" s="51">
        <f>F108*$B$7</f>
        <v>780000</v>
      </c>
      <c r="H108" s="51">
        <f>G108-F108</f>
        <v>468000</v>
      </c>
      <c r="I108" s="52">
        <f>H108/G108</f>
        <v>0.6</v>
      </c>
      <c r="J108" s="53" t="n"/>
      <c r="K108" s="54" t="n"/>
    </row>
    <row r="109">
      <c r="A109" s="39" t="inlineStr">
        <is>
          <t>Alexandre J</t>
        </is>
      </c>
      <c r="B109" s="47" t="inlineStr">
        <is>
          <t>ALEXANDRE J PASSION BLISS EDP 100ML UNISEX</t>
        </is>
      </c>
      <c r="C109" s="48" t="n">
        <v>100</v>
      </c>
      <c r="D109" s="49" t="inlineStr">
        <is>
          <t>Nicho</t>
        </is>
      </c>
      <c r="E109" s="50" t="n">
        <v>75</v>
      </c>
      <c r="F109" s="51">
        <f>E109*$B$5*(1+$B$6)</f>
        <v>97500</v>
      </c>
      <c r="G109" s="51">
        <f>F109*$B$7</f>
        <v>243750</v>
      </c>
      <c r="H109" s="51">
        <f>G109-F109</f>
        <v>146250</v>
      </c>
      <c r="I109" s="52">
        <f>H109/G109</f>
        <v>0.6</v>
      </c>
      <c r="J109" s="53" t="n"/>
      <c r="K109" s="54" t="n"/>
    </row>
    <row r="110">
      <c r="A110" s="39" t="inlineStr">
        <is>
          <t>Alexandre J</t>
        </is>
      </c>
      <c r="B110" s="47" t="inlineStr">
        <is>
          <t>ALEXANDRE J ROSE OUD EDP 100ML FEM</t>
        </is>
      </c>
      <c r="C110" s="48" t="n">
        <v>100</v>
      </c>
      <c r="D110" s="49" t="inlineStr">
        <is>
          <t>Nicho</t>
        </is>
      </c>
      <c r="E110" s="50" t="n">
        <v>42</v>
      </c>
      <c r="F110" s="51">
        <f>E110*$B$5*(1+$B$6)</f>
        <v>54600</v>
      </c>
      <c r="G110" s="51">
        <f>F110*$B$7</f>
        <v>136500</v>
      </c>
      <c r="H110" s="51">
        <f>G110-F110</f>
        <v>81900</v>
      </c>
      <c r="I110" s="52">
        <f>H110/G110</f>
        <v>0.6</v>
      </c>
      <c r="J110" s="53" t="n"/>
      <c r="K110" s="54" t="n"/>
    </row>
    <row r="111">
      <c r="A111" s="39" t="inlineStr">
        <is>
          <t>Alfred Ritchy</t>
        </is>
      </c>
      <c r="B111" s="47" t="inlineStr">
        <is>
          <t>ALFRED RITCHY ANATOLIA EDP 100ML UNISEX</t>
        </is>
      </c>
      <c r="C111" s="48" t="n">
        <v>100</v>
      </c>
      <c r="D111" s="49" t="inlineStr">
        <is>
          <t>Nicho</t>
        </is>
      </c>
      <c r="E111" s="50" t="n">
        <v>100</v>
      </c>
      <c r="F111" s="51">
        <f>E111*$B$5*(1+$B$6)</f>
        <v>130000</v>
      </c>
      <c r="G111" s="51">
        <f>F111*$B$7</f>
        <v>325000</v>
      </c>
      <c r="H111" s="51">
        <f>G111-F111</f>
        <v>195000</v>
      </c>
      <c r="I111" s="52">
        <f>H111/G111</f>
        <v>0.6</v>
      </c>
      <c r="J111" s="53" t="n"/>
      <c r="K111" s="54" t="n"/>
    </row>
    <row r="112">
      <c r="A112" s="39" t="inlineStr">
        <is>
          <t>Alfred Ritchy</t>
        </is>
      </c>
      <c r="B112" s="47" t="inlineStr">
        <is>
          <t>ALFRED RITCHY DACHA EDP 100ML UNISEX</t>
        </is>
      </c>
      <c r="C112" s="48" t="n">
        <v>100</v>
      </c>
      <c r="D112" s="49" t="inlineStr">
        <is>
          <t>Nicho</t>
        </is>
      </c>
      <c r="E112" s="50" t="n">
        <v>100</v>
      </c>
      <c r="F112" s="51">
        <f>E112*$B$5*(1+$B$6)</f>
        <v>130000</v>
      </c>
      <c r="G112" s="51">
        <f>F112*$B$7</f>
        <v>325000</v>
      </c>
      <c r="H112" s="51">
        <f>G112-F112</f>
        <v>195000</v>
      </c>
      <c r="I112" s="52">
        <f>H112/G112</f>
        <v>0.6</v>
      </c>
      <c r="J112" s="53" t="n"/>
      <c r="K112" s="54" t="n"/>
    </row>
    <row r="113">
      <c r="A113" s="39" t="inlineStr">
        <is>
          <t>Alfred Ritchy</t>
        </is>
      </c>
      <c r="B113" s="47" t="inlineStr">
        <is>
          <t>ALFRED RITCHY JETTY EDP 100ML UNISEX</t>
        </is>
      </c>
      <c r="C113" s="48" t="n">
        <v>100</v>
      </c>
      <c r="D113" s="49" t="inlineStr">
        <is>
          <t>Nicho</t>
        </is>
      </c>
      <c r="E113" s="50" t="n">
        <v>100</v>
      </c>
      <c r="F113" s="51">
        <f>E113*$B$5*(1+$B$6)</f>
        <v>130000</v>
      </c>
      <c r="G113" s="51">
        <f>F113*$B$7</f>
        <v>325000</v>
      </c>
      <c r="H113" s="51">
        <f>G113-F113</f>
        <v>195000</v>
      </c>
      <c r="I113" s="52">
        <f>H113/G113</f>
        <v>0.6</v>
      </c>
      <c r="J113" s="53" t="n"/>
      <c r="K113" s="54" t="n"/>
    </row>
    <row r="114">
      <c r="A114" s="39" t="inlineStr">
        <is>
          <t>Alfred Ritchy</t>
        </is>
      </c>
      <c r="B114" s="47" t="inlineStr">
        <is>
          <t>ALFRED RITCHY LAKESIDE EDP 100ML UNISEX</t>
        </is>
      </c>
      <c r="C114" s="48" t="n">
        <v>100</v>
      </c>
      <c r="D114" s="49" t="inlineStr">
        <is>
          <t>Nicho</t>
        </is>
      </c>
      <c r="E114" s="50" t="n">
        <v>100</v>
      </c>
      <c r="F114" s="51">
        <f>E114*$B$5*(1+$B$6)</f>
        <v>130000</v>
      </c>
      <c r="G114" s="51">
        <f>F114*$B$7</f>
        <v>325000</v>
      </c>
      <c r="H114" s="51">
        <f>G114-F114</f>
        <v>195000</v>
      </c>
      <c r="I114" s="52">
        <f>H114/G114</f>
        <v>0.6</v>
      </c>
      <c r="J114" s="53" t="n"/>
      <c r="K114" s="54" t="n"/>
    </row>
    <row r="115">
      <c r="A115" s="39" t="inlineStr">
        <is>
          <t>Alfred Ritchy</t>
        </is>
      </c>
      <c r="B115" s="47" t="inlineStr">
        <is>
          <t>ALFRED RITCHY LARVOTTO EDP 100ML UNISEX</t>
        </is>
      </c>
      <c r="C115" s="48" t="n">
        <v>100</v>
      </c>
      <c r="D115" s="49" t="inlineStr">
        <is>
          <t>Nicho</t>
        </is>
      </c>
      <c r="E115" s="50" t="n">
        <v>100</v>
      </c>
      <c r="F115" s="51">
        <f>E115*$B$5*(1+$B$6)</f>
        <v>130000</v>
      </c>
      <c r="G115" s="51">
        <f>F115*$B$7</f>
        <v>325000</v>
      </c>
      <c r="H115" s="51">
        <f>G115-F115</f>
        <v>195000</v>
      </c>
      <c r="I115" s="52">
        <f>H115/G115</f>
        <v>0.6</v>
      </c>
      <c r="J115" s="53" t="n"/>
      <c r="K115" s="54" t="n"/>
    </row>
    <row r="116">
      <c r="A116" s="39" t="inlineStr">
        <is>
          <t>Alfred Ritchy</t>
        </is>
      </c>
      <c r="B116" s="47" t="inlineStr">
        <is>
          <t>ALFRED RITCHY MAMBA EDP 100ML UNISEX</t>
        </is>
      </c>
      <c r="C116" s="48" t="n">
        <v>100</v>
      </c>
      <c r="D116" s="49" t="inlineStr">
        <is>
          <t>Nicho</t>
        </is>
      </c>
      <c r="E116" s="50" t="n">
        <v>100</v>
      </c>
      <c r="F116" s="51">
        <f>E116*$B$5*(1+$B$6)</f>
        <v>130000</v>
      </c>
      <c r="G116" s="51">
        <f>F116*$B$7</f>
        <v>325000</v>
      </c>
      <c r="H116" s="51">
        <f>G116-F116</f>
        <v>195000</v>
      </c>
      <c r="I116" s="52">
        <f>H116/G116</f>
        <v>0.6</v>
      </c>
      <c r="J116" s="53" t="n"/>
      <c r="K116" s="54" t="n"/>
    </row>
    <row r="117">
      <c r="A117" s="39" t="inlineStr">
        <is>
          <t>Alfred Ritchy</t>
        </is>
      </c>
      <c r="B117" s="47" t="inlineStr">
        <is>
          <t>ALFRED RITCHY NASSAU EDP 100ML UNISEX</t>
        </is>
      </c>
      <c r="C117" s="48" t="n">
        <v>100</v>
      </c>
      <c r="D117" s="49" t="inlineStr">
        <is>
          <t>Nicho</t>
        </is>
      </c>
      <c r="E117" s="50" t="n">
        <v>100</v>
      </c>
      <c r="F117" s="51">
        <f>E117*$B$5*(1+$B$6)</f>
        <v>130000</v>
      </c>
      <c r="G117" s="51">
        <f>F117*$B$7</f>
        <v>325000</v>
      </c>
      <c r="H117" s="51">
        <f>G117-F117</f>
        <v>195000</v>
      </c>
      <c r="I117" s="52">
        <f>H117/G117</f>
        <v>0.6</v>
      </c>
      <c r="J117" s="53" t="n"/>
      <c r="K117" s="54" t="n"/>
    </row>
    <row r="118">
      <c r="A118" s="39" t="inlineStr">
        <is>
          <t>Alfred Ritchy</t>
        </is>
      </c>
      <c r="B118" s="47" t="inlineStr">
        <is>
          <t>ALFRED RITCHY NOLO EDP 100ML UNISEX</t>
        </is>
      </c>
      <c r="C118" s="48" t="n">
        <v>100</v>
      </c>
      <c r="D118" s="49" t="inlineStr">
        <is>
          <t>Nicho</t>
        </is>
      </c>
      <c r="E118" s="50" t="n">
        <v>100</v>
      </c>
      <c r="F118" s="51">
        <f>E118*$B$5*(1+$B$6)</f>
        <v>130000</v>
      </c>
      <c r="G118" s="51">
        <f>F118*$B$7</f>
        <v>325000</v>
      </c>
      <c r="H118" s="51">
        <f>G118-F118</f>
        <v>195000</v>
      </c>
      <c r="I118" s="52">
        <f>H118/G118</f>
        <v>0.6</v>
      </c>
      <c r="J118" s="53" t="n"/>
      <c r="K118" s="54" t="n"/>
    </row>
    <row r="119">
      <c r="A119" s="39" t="inlineStr">
        <is>
          <t>Alfred Ritchy</t>
        </is>
      </c>
      <c r="B119" s="47" t="inlineStr">
        <is>
          <t>ALFRED RITCHY SERPENTIA EDP 100ML UNISEX</t>
        </is>
      </c>
      <c r="C119" s="48" t="n">
        <v>100</v>
      </c>
      <c r="D119" s="49" t="inlineStr">
        <is>
          <t>Nicho</t>
        </is>
      </c>
      <c r="E119" s="50" t="n">
        <v>100</v>
      </c>
      <c r="F119" s="51">
        <f>E119*$B$5*(1+$B$6)</f>
        <v>130000</v>
      </c>
      <c r="G119" s="51">
        <f>F119*$B$7</f>
        <v>325000</v>
      </c>
      <c r="H119" s="51">
        <f>G119-F119</f>
        <v>195000</v>
      </c>
      <c r="I119" s="52">
        <f>H119/G119</f>
        <v>0.6</v>
      </c>
      <c r="J119" s="53" t="n"/>
      <c r="K119" s="54" t="n"/>
    </row>
    <row r="120">
      <c r="A120" s="39" t="inlineStr">
        <is>
          <t>Alfred Ritchy</t>
        </is>
      </c>
      <c r="B120" s="47" t="inlineStr">
        <is>
          <t>ALFRED RITCHY URBAN EDP 100ML UNISEX</t>
        </is>
      </c>
      <c r="C120" s="48" t="n">
        <v>100</v>
      </c>
      <c r="D120" s="49" t="inlineStr">
        <is>
          <t>Nicho</t>
        </is>
      </c>
      <c r="E120" s="50" t="n">
        <v>100</v>
      </c>
      <c r="F120" s="51">
        <f>E120*$B$5*(1+$B$6)</f>
        <v>130000</v>
      </c>
      <c r="G120" s="51">
        <f>F120*$B$7</f>
        <v>325000</v>
      </c>
      <c r="H120" s="51">
        <f>G120-F120</f>
        <v>195000</v>
      </c>
      <c r="I120" s="52">
        <f>H120/G120</f>
        <v>0.6</v>
      </c>
      <c r="J120" s="53" t="n"/>
      <c r="K120" s="54" t="n"/>
    </row>
    <row r="121">
      <c r="A121" s="39" t="inlineStr">
        <is>
          <t>Animale</t>
        </is>
      </c>
      <c r="B121" s="47" t="inlineStr">
        <is>
          <t>ANIMALE LOVE EDP 100ML</t>
        </is>
      </c>
      <c r="C121" s="48" t="n">
        <v>100</v>
      </c>
      <c r="D121" s="49" t="inlineStr">
        <is>
          <t>Diseñador</t>
        </is>
      </c>
      <c r="E121" s="50" t="n">
        <v>20.8</v>
      </c>
      <c r="F121" s="51">
        <f>E121*$B$5*(1+$B$6)</f>
        <v>27040</v>
      </c>
      <c r="G121" s="51">
        <f>F121*$B$7</f>
        <v>67600</v>
      </c>
      <c r="H121" s="51">
        <f>G121-F121</f>
        <v>40560</v>
      </c>
      <c r="I121" s="52">
        <f>H121/G121</f>
        <v>0.6</v>
      </c>
      <c r="J121" s="53" t="n"/>
      <c r="K121" s="54" t="n"/>
    </row>
    <row r="122">
      <c r="A122" s="39" t="inlineStr">
        <is>
          <t>Antonio Banderas</t>
        </is>
      </c>
      <c r="B122" s="47" t="inlineStr">
        <is>
          <t>ANTONIO BANDERAS BLACK SEDUCTION EDT 100ML MASCULINO</t>
        </is>
      </c>
      <c r="C122" s="48" t="n">
        <v>100</v>
      </c>
      <c r="D122" s="49" t="inlineStr">
        <is>
          <t>Diseñador</t>
        </is>
      </c>
      <c r="E122" s="50" t="n">
        <v>16.5</v>
      </c>
      <c r="F122" s="51">
        <f>E122*$B$5*(1+$B$6)</f>
        <v>21450</v>
      </c>
      <c r="G122" s="51">
        <f>F122*$B$7</f>
        <v>53625</v>
      </c>
      <c r="H122" s="51">
        <f>G122-F122</f>
        <v>32175</v>
      </c>
      <c r="I122" s="52">
        <f>H122/G122</f>
        <v>0.6</v>
      </c>
      <c r="J122" s="53" t="n"/>
      <c r="K122" s="54" t="n"/>
    </row>
    <row r="123">
      <c r="A123" s="39" t="inlineStr">
        <is>
          <t>Antonio Banderas</t>
        </is>
      </c>
      <c r="B123" s="47" t="inlineStr">
        <is>
          <t>ANTONIO BANDERAS BLACK SEDUCTION EDT 200ML MASCULINO</t>
        </is>
      </c>
      <c r="C123" s="48" t="n">
        <v>200</v>
      </c>
      <c r="D123" s="49" t="inlineStr">
        <is>
          <t>Diseñador</t>
        </is>
      </c>
      <c r="E123" s="50" t="n">
        <v>20</v>
      </c>
      <c r="F123" s="51">
        <f>E123*$B$5*(1+$B$6)</f>
        <v>26000</v>
      </c>
      <c r="G123" s="51">
        <f>F123*$B$7</f>
        <v>65000</v>
      </c>
      <c r="H123" s="51">
        <f>G123-F123</f>
        <v>39000</v>
      </c>
      <c r="I123" s="52">
        <f>H123/G123</f>
        <v>0.6</v>
      </c>
      <c r="J123" s="53" t="n"/>
      <c r="K123" s="54" t="n"/>
    </row>
    <row r="124">
      <c r="A124" s="39" t="inlineStr">
        <is>
          <t>Antonio Banderas</t>
        </is>
      </c>
      <c r="B124" s="47" t="inlineStr">
        <is>
          <t>ANTONIO BANDERAS BLUE SEDUCTION EDT 200ML FEM</t>
        </is>
      </c>
      <c r="C124" s="48" t="n">
        <v>200</v>
      </c>
      <c r="D124" s="49" t="inlineStr">
        <is>
          <t>Diseñador</t>
        </is>
      </c>
      <c r="E124" s="50" t="n">
        <v>19</v>
      </c>
      <c r="F124" s="51">
        <f>E124*$B$5*(1+$B$6)</f>
        <v>24700</v>
      </c>
      <c r="G124" s="51">
        <f>F124*$B$7</f>
        <v>61750</v>
      </c>
      <c r="H124" s="51">
        <f>G124-F124</f>
        <v>37050</v>
      </c>
      <c r="I124" s="52">
        <f>H124/G124</f>
        <v>0.6</v>
      </c>
      <c r="J124" s="53" t="n"/>
      <c r="K124" s="54" t="n"/>
    </row>
    <row r="125">
      <c r="A125" s="39" t="inlineStr">
        <is>
          <t>Antonio Banderas</t>
        </is>
      </c>
      <c r="B125" s="47" t="inlineStr">
        <is>
          <t>ANTONIO BANDERAS BLUE SEDUCTION SUMMER ESSENCE EDT 100ML</t>
        </is>
      </c>
      <c r="C125" s="48" t="n">
        <v>100</v>
      </c>
      <c r="D125" s="49" t="inlineStr">
        <is>
          <t>Diseñador</t>
        </is>
      </c>
      <c r="E125" s="50" t="n">
        <v>15.9</v>
      </c>
      <c r="F125" s="51">
        <f>E125*$B$5*(1+$B$6)</f>
        <v>20670</v>
      </c>
      <c r="G125" s="51">
        <f>F125*$B$7</f>
        <v>51675</v>
      </c>
      <c r="H125" s="51">
        <f>G125-F125</f>
        <v>31005</v>
      </c>
      <c r="I125" s="52">
        <f>H125/G125</f>
        <v>0.6</v>
      </c>
      <c r="J125" s="53" t="n"/>
      <c r="K125" s="54" t="n"/>
    </row>
    <row r="126">
      <c r="A126" s="39" t="inlineStr">
        <is>
          <t>Antonio Banderas</t>
        </is>
      </c>
      <c r="B126" s="47" t="inlineStr">
        <is>
          <t>ANTONIO BANDERAS DIAVOLO EDT 200ML MASC</t>
        </is>
      </c>
      <c r="C126" s="48" t="n">
        <v>200</v>
      </c>
      <c r="D126" s="49" t="inlineStr">
        <is>
          <t>Diseñador</t>
        </is>
      </c>
      <c r="E126" s="50" t="n">
        <v>13.35</v>
      </c>
      <c r="F126" s="51">
        <f>E126*$B$5*(1+$B$6)</f>
        <v>17355</v>
      </c>
      <c r="G126" s="51">
        <f>F126*$B$7</f>
        <v>43387.5</v>
      </c>
      <c r="H126" s="51">
        <f>G126-F126</f>
        <v>26032.5</v>
      </c>
      <c r="I126" s="52">
        <f>H126/G126</f>
        <v>0.6</v>
      </c>
      <c r="J126" s="53" t="n"/>
      <c r="K126" s="54" t="n"/>
    </row>
    <row r="127">
      <c r="A127" s="39" t="inlineStr">
        <is>
          <t>Antonio Banderas</t>
        </is>
      </c>
      <c r="B127" s="47" t="inlineStr">
        <is>
          <t>ANTONIO BANDERAS HER GOLDEN SECRET EDT 80ML FEM</t>
        </is>
      </c>
      <c r="C127" s="48" t="n">
        <v>80</v>
      </c>
      <c r="D127" s="49" t="inlineStr">
        <is>
          <t>Diseñador</t>
        </is>
      </c>
      <c r="E127" s="50" t="n">
        <v>14.5</v>
      </c>
      <c r="F127" s="51">
        <f>E127*$B$5*(1+$B$6)</f>
        <v>18850</v>
      </c>
      <c r="G127" s="51">
        <f>F127*$B$7</f>
        <v>47125</v>
      </c>
      <c r="H127" s="51">
        <f>G127-F127</f>
        <v>28275</v>
      </c>
      <c r="I127" s="52">
        <f>H127/G127</f>
        <v>0.6</v>
      </c>
      <c r="J127" s="53" t="n"/>
      <c r="K127" s="54" t="n"/>
    </row>
    <row r="128">
      <c r="A128" s="39" t="inlineStr">
        <is>
          <t>Antonio Banderas</t>
        </is>
      </c>
      <c r="B128" s="47" t="inlineStr">
        <is>
          <t>ANTONIO BANDERAS HER SECRET ABSOLU EDP 80ML FEM</t>
        </is>
      </c>
      <c r="C128" s="48" t="n">
        <v>80</v>
      </c>
      <c r="D128" s="49" t="inlineStr">
        <is>
          <t>Diseñador</t>
        </is>
      </c>
      <c r="E128" s="50" t="n">
        <v>17.5</v>
      </c>
      <c r="F128" s="51">
        <f>E128*$B$5*(1+$B$6)</f>
        <v>22750</v>
      </c>
      <c r="G128" s="51">
        <f>F128*$B$7</f>
        <v>56875</v>
      </c>
      <c r="H128" s="51">
        <f>G128-F128</f>
        <v>34125</v>
      </c>
      <c r="I128" s="52">
        <f>H128/G128</f>
        <v>0.6</v>
      </c>
      <c r="J128" s="53" t="n"/>
      <c r="K128" s="54" t="n"/>
    </row>
    <row r="129">
      <c r="A129" s="39" t="inlineStr">
        <is>
          <t>Antonio Banderas</t>
        </is>
      </c>
      <c r="B129" s="47" t="inlineStr">
        <is>
          <t>ANTONIO BANDERAS HER SECRET DESIRE EDT 80ML FEM</t>
        </is>
      </c>
      <c r="C129" s="48" t="n">
        <v>80</v>
      </c>
      <c r="D129" s="49" t="inlineStr">
        <is>
          <t>Diseñador</t>
        </is>
      </c>
      <c r="E129" s="50" t="n">
        <v>15.5</v>
      </c>
      <c r="F129" s="51">
        <f>E129*$B$5*(1+$B$6)</f>
        <v>20150</v>
      </c>
      <c r="G129" s="51">
        <f>F129*$B$7</f>
        <v>50375</v>
      </c>
      <c r="H129" s="51">
        <f>G129-F129</f>
        <v>30225</v>
      </c>
      <c r="I129" s="52">
        <f>H129/G129</f>
        <v>0.6</v>
      </c>
      <c r="J129" s="53" t="n"/>
      <c r="K129" s="54" t="n"/>
    </row>
    <row r="130">
      <c r="A130" s="39" t="inlineStr">
        <is>
          <t>Antonio Banderas</t>
        </is>
      </c>
      <c r="B130" s="47" t="inlineStr">
        <is>
          <t>ANTONIO BANDERAS HER SECRET TEMPTATION EDT 80ML FEM</t>
        </is>
      </c>
      <c r="C130" s="48" t="n">
        <v>80</v>
      </c>
      <c r="D130" s="49" t="inlineStr">
        <is>
          <t>Diseñador</t>
        </is>
      </c>
      <c r="E130" s="50" t="n">
        <v>15</v>
      </c>
      <c r="F130" s="51">
        <f>E130*$B$5*(1+$B$6)</f>
        <v>19500</v>
      </c>
      <c r="G130" s="51">
        <f>F130*$B$7</f>
        <v>48750</v>
      </c>
      <c r="H130" s="51">
        <f>G130-F130</f>
        <v>29250</v>
      </c>
      <c r="I130" s="52">
        <f>H130/G130</f>
        <v>0.6</v>
      </c>
      <c r="J130" s="53" t="n"/>
      <c r="K130" s="54" t="n"/>
    </row>
    <row r="131">
      <c r="A131" s="39" t="inlineStr">
        <is>
          <t>Antonio Banderas</t>
        </is>
      </c>
      <c r="B131" s="47" t="inlineStr">
        <is>
          <t>ANTONIO BANDERAS KING OF SEDUCTION ABSOLUTE EDT 100ML MASCULINO</t>
        </is>
      </c>
      <c r="C131" s="48" t="n">
        <v>100</v>
      </c>
      <c r="D131" s="49" t="inlineStr">
        <is>
          <t>Diseñador</t>
        </is>
      </c>
      <c r="E131" s="50" t="n">
        <v>14.5</v>
      </c>
      <c r="F131" s="51">
        <f>E131*$B$5*(1+$B$6)</f>
        <v>18850</v>
      </c>
      <c r="G131" s="51">
        <f>F131*$B$7</f>
        <v>47125</v>
      </c>
      <c r="H131" s="51">
        <f>G131-F131</f>
        <v>28275</v>
      </c>
      <c r="I131" s="52">
        <f>H131/G131</f>
        <v>0.6</v>
      </c>
      <c r="J131" s="53" t="n"/>
      <c r="K131" s="54" t="n"/>
    </row>
    <row r="132">
      <c r="A132" s="39" t="inlineStr">
        <is>
          <t>Antonio Banderas</t>
        </is>
      </c>
      <c r="B132" s="47" t="inlineStr">
        <is>
          <t>ANTONIO BANDERAS KING OF SEDUCTION EDT 100ML MASC</t>
        </is>
      </c>
      <c r="C132" s="48" t="n">
        <v>100</v>
      </c>
      <c r="D132" s="49" t="inlineStr">
        <is>
          <t>Diseñador</t>
        </is>
      </c>
      <c r="E132" s="50" t="n">
        <v>19.5</v>
      </c>
      <c r="F132" s="51">
        <f>E132*$B$5*(1+$B$6)</f>
        <v>25350</v>
      </c>
      <c r="G132" s="51">
        <f>F132*$B$7</f>
        <v>63375</v>
      </c>
      <c r="H132" s="51">
        <f>G132-F132</f>
        <v>38025</v>
      </c>
      <c r="I132" s="52">
        <f>H132/G132</f>
        <v>0.6</v>
      </c>
      <c r="J132" s="53" t="n"/>
      <c r="K132" s="54" t="n"/>
    </row>
    <row r="133">
      <c r="A133" s="39" t="inlineStr">
        <is>
          <t>Antonio Banderas</t>
        </is>
      </c>
      <c r="B133" s="47" t="inlineStr">
        <is>
          <t>ANTONIO BANDERAS KING OF SEDUCTION SUMMERLAND EDT 100ML MASC</t>
        </is>
      </c>
      <c r="C133" s="48" t="n">
        <v>100</v>
      </c>
      <c r="D133" s="49" t="inlineStr">
        <is>
          <t>Diseñador</t>
        </is>
      </c>
      <c r="E133" s="50" t="n">
        <v>16.25</v>
      </c>
      <c r="F133" s="51">
        <f>E133*$B$5*(1+$B$6)</f>
        <v>21125</v>
      </c>
      <c r="G133" s="51">
        <f>F133*$B$7</f>
        <v>52812.5</v>
      </c>
      <c r="H133" s="51">
        <f>G133-F133</f>
        <v>31687.5</v>
      </c>
      <c r="I133" s="52">
        <f>H133/G133</f>
        <v>0.6</v>
      </c>
      <c r="J133" s="53" t="n"/>
      <c r="K133" s="54" t="n"/>
    </row>
    <row r="134">
      <c r="A134" s="39" t="inlineStr">
        <is>
          <t>Antonio Banderas</t>
        </is>
      </c>
      <c r="B134" s="47" t="inlineStr">
        <is>
          <t>ANTONIO BANDERAS POWER OF SEDUCTION EDT 100ML MASC</t>
        </is>
      </c>
      <c r="C134" s="48" t="n">
        <v>100</v>
      </c>
      <c r="D134" s="49" t="inlineStr">
        <is>
          <t>Diseñador</t>
        </is>
      </c>
      <c r="E134" s="50" t="n">
        <v>13</v>
      </c>
      <c r="F134" s="51">
        <f>E134*$B$5*(1+$B$6)</f>
        <v>16900</v>
      </c>
      <c r="G134" s="51">
        <f>F134*$B$7</f>
        <v>42250</v>
      </c>
      <c r="H134" s="51">
        <f>G134-F134</f>
        <v>25350</v>
      </c>
      <c r="I134" s="52">
        <f>H134/G134</f>
        <v>0.6</v>
      </c>
      <c r="J134" s="53" t="n"/>
      <c r="K134" s="54" t="n"/>
    </row>
    <row r="135">
      <c r="A135" s="39" t="inlineStr">
        <is>
          <t>Antonio Banderas</t>
        </is>
      </c>
      <c r="B135" s="47" t="inlineStr">
        <is>
          <t>ANTONIO BANDERAS QUEEN OF SEDUCTION SUMMERLAND EDT 80ML FEM</t>
        </is>
      </c>
      <c r="C135" s="48" t="n">
        <v>80</v>
      </c>
      <c r="D135" s="49" t="inlineStr">
        <is>
          <t>Diseñador</t>
        </is>
      </c>
      <c r="E135" s="50" t="n">
        <v>16</v>
      </c>
      <c r="F135" s="51">
        <f>E135*$B$5*(1+$B$6)</f>
        <v>20800</v>
      </c>
      <c r="G135" s="51">
        <f>F135*$B$7</f>
        <v>52000</v>
      </c>
      <c r="H135" s="51">
        <f>G135-F135</f>
        <v>31200</v>
      </c>
      <c r="I135" s="52">
        <f>H135/G135</f>
        <v>0.6</v>
      </c>
      <c r="J135" s="53" t="n"/>
      <c r="K135" s="54" t="n"/>
    </row>
    <row r="136">
      <c r="A136" s="39" t="inlineStr">
        <is>
          <t>Antonio Banderas</t>
        </is>
      </c>
      <c r="B136" s="47" t="inlineStr">
        <is>
          <t>ANTONIO BANDERAS THE GOLDEN SECRET EDT 100ML MASC</t>
        </is>
      </c>
      <c r="C136" s="48" t="n">
        <v>100</v>
      </c>
      <c r="D136" s="49" t="inlineStr">
        <is>
          <t>Diseñador</t>
        </is>
      </c>
      <c r="E136" s="50" t="n">
        <v>15.75</v>
      </c>
      <c r="F136" s="51">
        <f>E136*$B$5*(1+$B$6)</f>
        <v>20475</v>
      </c>
      <c r="G136" s="51">
        <f>F136*$B$7</f>
        <v>51187.5</v>
      </c>
      <c r="H136" s="51">
        <f>G136-F136</f>
        <v>30712.5</v>
      </c>
      <c r="I136" s="52">
        <f>H136/G136</f>
        <v>0.6</v>
      </c>
      <c r="J136" s="53" t="n"/>
      <c r="K136" s="54" t="n"/>
    </row>
    <row r="137">
      <c r="A137" s="39" t="inlineStr">
        <is>
          <t>Antonio Banderas</t>
        </is>
      </c>
      <c r="B137" s="47" t="inlineStr">
        <is>
          <t>ANTONIO BANDERAS THE GOLDEN SECRET EDT 200ML MASCULINO</t>
        </is>
      </c>
      <c r="C137" s="48" t="n">
        <v>200</v>
      </c>
      <c r="D137" s="49" t="inlineStr">
        <is>
          <t>Diseñador</t>
        </is>
      </c>
      <c r="E137" s="50" t="n">
        <v>18.25</v>
      </c>
      <c r="F137" s="51">
        <f>E137*$B$5*(1+$B$6)</f>
        <v>23725</v>
      </c>
      <c r="G137" s="51">
        <f>F137*$B$7</f>
        <v>59312.5</v>
      </c>
      <c r="H137" s="51">
        <f>G137-F137</f>
        <v>35587.5</v>
      </c>
      <c r="I137" s="52">
        <f>H137/G137</f>
        <v>0.6</v>
      </c>
      <c r="J137" s="53" t="n"/>
      <c r="K137" s="54" t="n"/>
    </row>
    <row r="138">
      <c r="A138" s="39" t="inlineStr">
        <is>
          <t>Antonio Banderas</t>
        </is>
      </c>
      <c r="B138" s="47" t="inlineStr">
        <is>
          <t>ANTONIO BANDERAS THE ICON EDT 100ML</t>
        </is>
      </c>
      <c r="C138" s="48" t="n">
        <v>100</v>
      </c>
      <c r="D138" s="49" t="inlineStr">
        <is>
          <t>Diseñador</t>
        </is>
      </c>
      <c r="E138" s="50" t="n">
        <v>15.5</v>
      </c>
      <c r="F138" s="51">
        <f>E138*$B$5*(1+$B$6)</f>
        <v>20150</v>
      </c>
      <c r="G138" s="51">
        <f>F138*$B$7</f>
        <v>50375</v>
      </c>
      <c r="H138" s="51">
        <f>G138-F138</f>
        <v>30225</v>
      </c>
      <c r="I138" s="52">
        <f>H138/G138</f>
        <v>0.6</v>
      </c>
      <c r="J138" s="53" t="n"/>
      <c r="K138" s="54" t="n"/>
    </row>
    <row r="139">
      <c r="A139" s="39" t="inlineStr">
        <is>
          <t>Antonio Banderas</t>
        </is>
      </c>
      <c r="B139" s="47" t="inlineStr">
        <is>
          <t>ANTONIO BANDERAS THE ICON ELIXIR EDP 100ML MASC</t>
        </is>
      </c>
      <c r="C139" s="48" t="n">
        <v>100</v>
      </c>
      <c r="D139" s="49" t="inlineStr">
        <is>
          <t>Diseñador</t>
        </is>
      </c>
      <c r="E139" s="50" t="n">
        <v>19</v>
      </c>
      <c r="F139" s="51">
        <f>E139*$B$5*(1+$B$6)</f>
        <v>24700</v>
      </c>
      <c r="G139" s="51">
        <f>F139*$B$7</f>
        <v>61750</v>
      </c>
      <c r="H139" s="51">
        <f>G139-F139</f>
        <v>37050</v>
      </c>
      <c r="I139" s="52">
        <f>H139/G139</f>
        <v>0.6</v>
      </c>
      <c r="J139" s="53" t="n"/>
      <c r="K139" s="54" t="n"/>
    </row>
    <row r="140">
      <c r="A140" s="39" t="inlineStr">
        <is>
          <t>Antonio Banderas</t>
        </is>
      </c>
      <c r="B140" s="47" t="inlineStr">
        <is>
          <t>ANTONIO BANDERAS THE ICON PERFUME (BLACK) EDP 100ML MASCULINO</t>
        </is>
      </c>
      <c r="C140" s="48" t="n">
        <v>100</v>
      </c>
      <c r="D140" s="49" t="inlineStr">
        <is>
          <t>Diseñador</t>
        </is>
      </c>
      <c r="E140" s="50" t="n">
        <v>17</v>
      </c>
      <c r="F140" s="51">
        <f>E140*$B$5*(1+$B$6)</f>
        <v>22100</v>
      </c>
      <c r="G140" s="51">
        <f>F140*$B$7</f>
        <v>55250</v>
      </c>
      <c r="H140" s="51">
        <f>G140-F140</f>
        <v>33150</v>
      </c>
      <c r="I140" s="52">
        <f>H140/G140</f>
        <v>0.6</v>
      </c>
      <c r="J140" s="53" t="n"/>
      <c r="K140" s="54" t="n"/>
    </row>
    <row r="141">
      <c r="A141" s="39" t="inlineStr">
        <is>
          <t>Antonio Banderas</t>
        </is>
      </c>
      <c r="B141" s="47" t="inlineStr">
        <is>
          <t>ANTONIO BANDERAS THE ICON SPLENDID EDP 100ML FEM</t>
        </is>
      </c>
      <c r="C141" s="48" t="n">
        <v>100</v>
      </c>
      <c r="D141" s="49" t="inlineStr">
        <is>
          <t>Diseñador</t>
        </is>
      </c>
      <c r="E141" s="50" t="n">
        <v>21</v>
      </c>
      <c r="F141" s="51">
        <f>E141*$B$5*(1+$B$6)</f>
        <v>27300</v>
      </c>
      <c r="G141" s="51">
        <f>F141*$B$7</f>
        <v>68250</v>
      </c>
      <c r="H141" s="51">
        <f>G141-F141</f>
        <v>40950</v>
      </c>
      <c r="I141" s="52">
        <f>H141/G141</f>
        <v>0.6</v>
      </c>
      <c r="J141" s="53" t="n"/>
      <c r="K141" s="54" t="n"/>
    </row>
    <row r="142">
      <c r="A142" s="39" t="inlineStr">
        <is>
          <t>Antonio Banderas</t>
        </is>
      </c>
      <c r="B142" s="47" t="inlineStr">
        <is>
          <t>ANTONIO BANDERAS THE ICON SUPREME EDP 100ML MASC</t>
        </is>
      </c>
      <c r="C142" s="48" t="n">
        <v>100</v>
      </c>
      <c r="D142" s="49" t="inlineStr">
        <is>
          <t>Diseñador</t>
        </is>
      </c>
      <c r="E142" s="50" t="n">
        <v>21.25</v>
      </c>
      <c r="F142" s="51">
        <f>E142*$B$5*(1+$B$6)</f>
        <v>27625</v>
      </c>
      <c r="G142" s="51">
        <f>F142*$B$7</f>
        <v>69062.5</v>
      </c>
      <c r="H142" s="51">
        <f>G142-F142</f>
        <v>41437.5</v>
      </c>
      <c r="I142" s="52">
        <f>H142/G142</f>
        <v>0.6</v>
      </c>
      <c r="J142" s="53" t="n"/>
      <c r="K142" s="54" t="n"/>
    </row>
    <row r="143">
      <c r="A143" s="39" t="inlineStr">
        <is>
          <t>Antonio Banderas</t>
        </is>
      </c>
      <c r="B143" s="47" t="inlineStr">
        <is>
          <t>ANTONIO BANDERAS THE SECRET ABSOLU EDP 100ML MASC</t>
        </is>
      </c>
      <c r="C143" s="48" t="n">
        <v>100</v>
      </c>
      <c r="D143" s="49" t="inlineStr">
        <is>
          <t>Diseñador</t>
        </is>
      </c>
      <c r="E143" s="50" t="n">
        <v>17.5</v>
      </c>
      <c r="F143" s="51">
        <f>E143*$B$5*(1+$B$6)</f>
        <v>22750</v>
      </c>
      <c r="G143" s="51">
        <f>F143*$B$7</f>
        <v>56875</v>
      </c>
      <c r="H143" s="51">
        <f>G143-F143</f>
        <v>34125</v>
      </c>
      <c r="I143" s="52">
        <f>H143/G143</f>
        <v>0.6</v>
      </c>
      <c r="J143" s="53" t="n"/>
      <c r="K143" s="54" t="n"/>
    </row>
    <row r="144">
      <c r="A144" s="39" t="inlineStr">
        <is>
          <t>Antonio Banderas</t>
        </is>
      </c>
      <c r="B144" s="47" t="inlineStr">
        <is>
          <t>ANTONIO BANDERAS THE SECRET MEN 100ML EDT MASC</t>
        </is>
      </c>
      <c r="C144" s="48" t="n">
        <v>100</v>
      </c>
      <c r="D144" s="49" t="inlineStr">
        <is>
          <t>Diseñador</t>
        </is>
      </c>
      <c r="E144" s="50" t="n">
        <v>15.99</v>
      </c>
      <c r="F144" s="51">
        <f>E144*$B$5*(1+$B$6)</f>
        <v>20787</v>
      </c>
      <c r="G144" s="51">
        <f>F144*$B$7</f>
        <v>51967.5</v>
      </c>
      <c r="H144" s="51">
        <f>G144-F144</f>
        <v>31180.5</v>
      </c>
      <c r="I144" s="52">
        <f>H144/G144</f>
        <v>0.6</v>
      </c>
      <c r="J144" s="53" t="n"/>
      <c r="K144" s="54" t="n"/>
    </row>
    <row r="145">
      <c r="A145" s="39" t="inlineStr">
        <is>
          <t>Antonio Banderas</t>
        </is>
      </c>
      <c r="B145" s="47" t="inlineStr">
        <is>
          <t>ANTONIO BANDERAS THE SECRET MEN 200ML EDT MASC</t>
        </is>
      </c>
      <c r="C145" s="48" t="n">
        <v>200</v>
      </c>
      <c r="D145" s="49" t="inlineStr">
        <is>
          <t>Diseñador</t>
        </is>
      </c>
      <c r="E145" s="50" t="n">
        <v>18.5</v>
      </c>
      <c r="F145" s="51">
        <f>E145*$B$5*(1+$B$6)</f>
        <v>24050</v>
      </c>
      <c r="G145" s="51">
        <f>F145*$B$7</f>
        <v>60125</v>
      </c>
      <c r="H145" s="51">
        <f>G145-F145</f>
        <v>36075</v>
      </c>
      <c r="I145" s="52">
        <f>H145/G145</f>
        <v>0.6</v>
      </c>
      <c r="J145" s="53" t="n"/>
      <c r="K145" s="54" t="n"/>
    </row>
    <row r="146">
      <c r="A146" s="39" t="inlineStr">
        <is>
          <t>Antonio Banderas</t>
        </is>
      </c>
      <c r="B146" s="47" t="inlineStr">
        <is>
          <t>Blue Seduction EDT</t>
        </is>
      </c>
      <c r="C146" s="48" t="n">
        <v>200</v>
      </c>
      <c r="D146" s="49" t="inlineStr">
        <is>
          <t>Diseñador</t>
        </is>
      </c>
      <c r="E146" s="50" t="n">
        <v>18.9</v>
      </c>
      <c r="F146" s="51">
        <f>E146*$B$5*(1+$B$6)</f>
        <v>24570</v>
      </c>
      <c r="G146" s="51">
        <f>F146*$B$7</f>
        <v>61425</v>
      </c>
      <c r="H146" s="51">
        <f>G146-F146</f>
        <v>36855</v>
      </c>
      <c r="I146" s="52">
        <f>H146/G146</f>
        <v>0.6</v>
      </c>
      <c r="J146" s="53" t="n"/>
      <c r="K146" s="54" t="inlineStr">
        <is>
          <t>200ml, muy económico</t>
        </is>
      </c>
    </row>
    <row r="147">
      <c r="A147" s="39" t="inlineStr">
        <is>
          <t>Antonio Banderas</t>
        </is>
      </c>
      <c r="B147" s="47" t="inlineStr">
        <is>
          <t>Queen of Seduction EDT (fem)</t>
        </is>
      </c>
      <c r="C147" s="48" t="n">
        <v>80</v>
      </c>
      <c r="D147" s="49" t="inlineStr">
        <is>
          <t>Diseñador</t>
        </is>
      </c>
      <c r="E147" s="50" t="n">
        <v>15.9</v>
      </c>
      <c r="F147" s="51">
        <f>E147*$B$5*(1+$B$6)</f>
        <v>20670</v>
      </c>
      <c r="G147" s="51">
        <f>F147*$B$7</f>
        <v>51675</v>
      </c>
      <c r="H147" s="51">
        <f>G147-F147</f>
        <v>31005</v>
      </c>
      <c r="I147" s="52">
        <f>H147/G147</f>
        <v>0.6</v>
      </c>
      <c r="J147" s="53" t="n"/>
      <c r="K147" s="54" t="inlineStr">
        <is>
          <t>Bajo costo, alta rotación</t>
        </is>
      </c>
    </row>
    <row r="148">
      <c r="A148" s="39" t="inlineStr">
        <is>
          <t>Antonio Banderas</t>
        </is>
      </c>
      <c r="B148" s="47" t="inlineStr">
        <is>
          <t>TESTER ANTONIO BANDERAS BLUE SEDUCTION EDT 100ML MAS</t>
        </is>
      </c>
      <c r="C148" s="48" t="n">
        <v>100</v>
      </c>
      <c r="D148" s="49" t="inlineStr">
        <is>
          <t>Tester</t>
        </is>
      </c>
      <c r="E148" s="50" t="n">
        <v>12</v>
      </c>
      <c r="F148" s="51">
        <f>E148*$B$5*(1+$B$6)</f>
        <v>15600</v>
      </c>
      <c r="G148" s="51">
        <f>F148*$B$7</f>
        <v>39000</v>
      </c>
      <c r="H148" s="51">
        <f>G148-F148</f>
        <v>23400</v>
      </c>
      <c r="I148" s="52">
        <f>H148/G148</f>
        <v>0.6</v>
      </c>
      <c r="J148" s="53" t="n"/>
      <c r="K148" s="54" t="n"/>
    </row>
    <row r="149">
      <c r="A149" s="39" t="inlineStr">
        <is>
          <t>Antonio Banderas</t>
        </is>
      </c>
      <c r="B149" s="47" t="inlineStr">
        <is>
          <t>TESTER ANTONIO BANDERAS BLUE SEDUCTION EDT 80ML FEM</t>
        </is>
      </c>
      <c r="C149" s="48" t="n">
        <v>80</v>
      </c>
      <c r="D149" s="49" t="inlineStr">
        <is>
          <t>Tester</t>
        </is>
      </c>
      <c r="E149" s="50" t="n">
        <v>12</v>
      </c>
      <c r="F149" s="51">
        <f>E149*$B$5*(1+$B$6)</f>
        <v>15600</v>
      </c>
      <c r="G149" s="51">
        <f>F149*$B$7</f>
        <v>39000</v>
      </c>
      <c r="H149" s="51">
        <f>G149-F149</f>
        <v>23400</v>
      </c>
      <c r="I149" s="52">
        <f>H149/G149</f>
        <v>0.6</v>
      </c>
      <c r="J149" s="53" t="n"/>
      <c r="K149" s="54" t="n"/>
    </row>
    <row r="150">
      <c r="A150" s="39" t="inlineStr">
        <is>
          <t>Antonio Banderas</t>
        </is>
      </c>
      <c r="B150" s="47" t="inlineStr">
        <is>
          <t>TESTER ANTONIO BANDERAS GOLDEN SECRET 100ML MASC</t>
        </is>
      </c>
      <c r="C150" s="48" t="n">
        <v>100</v>
      </c>
      <c r="D150" s="49" t="inlineStr">
        <is>
          <t>Tester</t>
        </is>
      </c>
      <c r="E150" s="50" t="n">
        <v>12</v>
      </c>
      <c r="F150" s="51">
        <f>E150*$B$5*(1+$B$6)</f>
        <v>15600</v>
      </c>
      <c r="G150" s="51">
        <f>F150*$B$7</f>
        <v>39000</v>
      </c>
      <c r="H150" s="51">
        <f>G150-F150</f>
        <v>23400</v>
      </c>
      <c r="I150" s="52">
        <f>H150/G150</f>
        <v>0.6</v>
      </c>
      <c r="J150" s="53" t="n"/>
      <c r="K150" s="54" t="n"/>
    </row>
    <row r="151">
      <c r="A151" s="39" t="inlineStr">
        <is>
          <t>Antonio Banderas</t>
        </is>
      </c>
      <c r="B151" s="47" t="inlineStr">
        <is>
          <t>TESTER ANTONIO BANDERAS HER GOLDEN SECRET EDT 80ML FEM</t>
        </is>
      </c>
      <c r="C151" s="48" t="n">
        <v>80</v>
      </c>
      <c r="D151" s="49" t="inlineStr">
        <is>
          <t>Tester</t>
        </is>
      </c>
      <c r="E151" s="50" t="n">
        <v>12</v>
      </c>
      <c r="F151" s="51">
        <f>E151*$B$5*(1+$B$6)</f>
        <v>15600</v>
      </c>
      <c r="G151" s="51">
        <f>F151*$B$7</f>
        <v>39000</v>
      </c>
      <c r="H151" s="51">
        <f>G151-F151</f>
        <v>23400</v>
      </c>
      <c r="I151" s="52">
        <f>H151/G151</f>
        <v>0.6</v>
      </c>
      <c r="J151" s="53" t="n"/>
      <c r="K151" s="54" t="n"/>
    </row>
    <row r="152">
      <c r="A152" s="39" t="inlineStr">
        <is>
          <t>Antonio Banderas</t>
        </is>
      </c>
      <c r="B152" s="47" t="inlineStr">
        <is>
          <t>TESTER ANTONIO BANDERAS SECRET ABSOLU EDT 100ML</t>
        </is>
      </c>
      <c r="C152" s="48" t="n">
        <v>100</v>
      </c>
      <c r="D152" s="49" t="inlineStr">
        <is>
          <t>Tester</t>
        </is>
      </c>
      <c r="E152" s="50" t="n">
        <v>15</v>
      </c>
      <c r="F152" s="51">
        <f>E152*$B$5*(1+$B$6)</f>
        <v>19500</v>
      </c>
      <c r="G152" s="51">
        <f>F152*$B$7</f>
        <v>48750</v>
      </c>
      <c r="H152" s="51">
        <f>G152-F152</f>
        <v>29250</v>
      </c>
      <c r="I152" s="52">
        <f>H152/G152</f>
        <v>0.6</v>
      </c>
      <c r="J152" s="53" t="n"/>
      <c r="K152" s="54" t="n"/>
    </row>
    <row r="153">
      <c r="A153" s="39" t="inlineStr">
        <is>
          <t>Antonio Banderas</t>
        </is>
      </c>
      <c r="B153" s="47" t="inlineStr">
        <is>
          <t>TESTER ANTONIO BANDERAS SECRET EDT 100ML</t>
        </is>
      </c>
      <c r="C153" s="48" t="n">
        <v>100</v>
      </c>
      <c r="D153" s="49" t="inlineStr">
        <is>
          <t>Tester</t>
        </is>
      </c>
      <c r="E153" s="50" t="n">
        <v>11</v>
      </c>
      <c r="F153" s="51">
        <f>E153*$B$5*(1+$B$6)</f>
        <v>14300</v>
      </c>
      <c r="G153" s="51">
        <f>F153*$B$7</f>
        <v>35750</v>
      </c>
      <c r="H153" s="51">
        <f>G153-F153</f>
        <v>21450</v>
      </c>
      <c r="I153" s="52">
        <f>H153/G153</f>
        <v>0.6</v>
      </c>
      <c r="J153" s="53" t="n"/>
      <c r="K153" s="54" t="n"/>
    </row>
    <row r="154">
      <c r="A154" s="39" t="inlineStr">
        <is>
          <t>Antonio Banderas</t>
        </is>
      </c>
      <c r="B154" s="47" t="inlineStr">
        <is>
          <t>TESTER ANTONIO BANDERAS SEDUCTION IN BLACK EDT 100ML</t>
        </is>
      </c>
      <c r="C154" s="48" t="n">
        <v>100</v>
      </c>
      <c r="D154" s="49" t="inlineStr">
        <is>
          <t>Tester</t>
        </is>
      </c>
      <c r="E154" s="50" t="n">
        <v>11</v>
      </c>
      <c r="F154" s="51">
        <f>E154*$B$5*(1+$B$6)</f>
        <v>14300</v>
      </c>
      <c r="G154" s="51">
        <f>F154*$B$7</f>
        <v>35750</v>
      </c>
      <c r="H154" s="51">
        <f>G154-F154</f>
        <v>21450</v>
      </c>
      <c r="I154" s="52">
        <f>H154/G154</f>
        <v>0.6</v>
      </c>
      <c r="J154" s="53" t="n"/>
      <c r="K154" s="54" t="n"/>
    </row>
    <row r="155">
      <c r="A155" s="39" t="inlineStr">
        <is>
          <t>Antonio Banderas</t>
        </is>
      </c>
      <c r="B155" s="47" t="inlineStr">
        <is>
          <t>TESTER ANTONIO BANDERAS THE ICON SUPREME EDP 100ML FEM</t>
        </is>
      </c>
      <c r="C155" s="48" t="n">
        <v>100</v>
      </c>
      <c r="D155" s="49" t="inlineStr">
        <is>
          <t>Tester</t>
        </is>
      </c>
      <c r="E155" s="50" t="n">
        <v>18</v>
      </c>
      <c r="F155" s="51">
        <f>E155*$B$5*(1+$B$6)</f>
        <v>23400</v>
      </c>
      <c r="G155" s="51">
        <f>F155*$B$7</f>
        <v>58500</v>
      </c>
      <c r="H155" s="51">
        <f>G155-F155</f>
        <v>35100</v>
      </c>
      <c r="I155" s="52">
        <f>H155/G155</f>
        <v>0.6</v>
      </c>
      <c r="J155" s="53" t="n"/>
      <c r="K155" s="54" t="n"/>
    </row>
    <row r="156">
      <c r="A156" s="39" t="inlineStr">
        <is>
          <t>Antonio Banderas</t>
        </is>
      </c>
      <c r="B156" s="47" t="inlineStr">
        <is>
          <t>The Icon Red EDP (fem)</t>
        </is>
      </c>
      <c r="C156" s="48" t="n">
        <v>100</v>
      </c>
      <c r="D156" s="49" t="inlineStr">
        <is>
          <t>Diseñador</t>
        </is>
      </c>
      <c r="E156" s="50" t="n">
        <v>19</v>
      </c>
      <c r="F156" s="51">
        <f>E156*$B$5*(1+$B$6)</f>
        <v>24700</v>
      </c>
      <c r="G156" s="51">
        <f>F156*$B$7</f>
        <v>61750</v>
      </c>
      <c r="H156" s="51">
        <f>G156-F156</f>
        <v>37050</v>
      </c>
      <c r="I156" s="52">
        <f>H156/G156</f>
        <v>0.6</v>
      </c>
      <c r="J156" s="53" t="n"/>
      <c r="K156" s="54" t="n"/>
    </row>
    <row r="157">
      <c r="A157" s="39" t="inlineStr">
        <is>
          <t>Arabian Oud</t>
        </is>
      </c>
      <c r="B157" s="47" t="inlineStr">
        <is>
          <t>ARABIAN OUD ARABIAN KNIGHT EDP 100ML MASC</t>
        </is>
      </c>
      <c r="C157" s="48" t="n">
        <v>100</v>
      </c>
      <c r="D157" s="49" t="inlineStr">
        <is>
          <t>Árabe</t>
        </is>
      </c>
      <c r="E157" s="50" t="n">
        <v>180</v>
      </c>
      <c r="F157" s="51">
        <f>E157*$B$5*(1+$B$6)</f>
        <v>234000</v>
      </c>
      <c r="G157" s="51">
        <f>F157*$B$7</f>
        <v>585000</v>
      </c>
      <c r="H157" s="51">
        <f>G157-F157</f>
        <v>351000</v>
      </c>
      <c r="I157" s="52">
        <f>H157/G157</f>
        <v>0.6</v>
      </c>
      <c r="J157" s="53" t="n"/>
      <c r="K157" s="54" t="n"/>
    </row>
    <row r="158">
      <c r="A158" s="39" t="inlineStr">
        <is>
          <t>Arabian Oud</t>
        </is>
      </c>
      <c r="B158" s="47" t="inlineStr">
        <is>
          <t>ARABIAN OUD MADAWI EDP 90ML FEM</t>
        </is>
      </c>
      <c r="C158" s="48" t="n">
        <v>90</v>
      </c>
      <c r="D158" s="49" t="inlineStr">
        <is>
          <t>Árabe</t>
        </is>
      </c>
      <c r="E158" s="50" t="n">
        <v>210</v>
      </c>
      <c r="F158" s="51">
        <f>E158*$B$5*(1+$B$6)</f>
        <v>273000</v>
      </c>
      <c r="G158" s="51">
        <f>F158*$B$7</f>
        <v>682500</v>
      </c>
      <c r="H158" s="51">
        <f>G158-F158</f>
        <v>409500</v>
      </c>
      <c r="I158" s="52">
        <f>H158/G158</f>
        <v>0.6</v>
      </c>
      <c r="J158" s="53" t="n"/>
      <c r="K158" s="54" t="n"/>
    </row>
    <row r="159">
      <c r="A159" s="39" t="inlineStr">
        <is>
          <t>Ard Al Zaafaran</t>
        </is>
      </c>
      <c r="B159" s="47" t="inlineStr">
        <is>
          <t>ARD AL ZAAFARAN BODY CREAM ASAD 280G</t>
        </is>
      </c>
      <c r="C159" s="48" t="n"/>
      <c r="D159" s="49" t="inlineStr">
        <is>
          <t>Árabe</t>
        </is>
      </c>
      <c r="E159" s="50" t="n">
        <v>13.5</v>
      </c>
      <c r="F159" s="51">
        <f>E159*$B$5*(1+$B$6)</f>
        <v>17550</v>
      </c>
      <c r="G159" s="51">
        <f>F159*$B$7</f>
        <v>43875</v>
      </c>
      <c r="H159" s="51">
        <f>G159-F159</f>
        <v>26325</v>
      </c>
      <c r="I159" s="52">
        <f>H159/G159</f>
        <v>0.6</v>
      </c>
      <c r="J159" s="53" t="n"/>
      <c r="K159" s="54" t="n"/>
    </row>
    <row r="160">
      <c r="A160" s="39" t="inlineStr">
        <is>
          <t>Ard Al Zaafaran</t>
        </is>
      </c>
      <c r="B160" s="47" t="inlineStr">
        <is>
          <t>ARD AL ZAAFARAN BODY CREAM YARA 310G</t>
        </is>
      </c>
      <c r="C160" s="48" t="n"/>
      <c r="D160" s="49" t="inlineStr">
        <is>
          <t>Árabe</t>
        </is>
      </c>
      <c r="E160" s="50" t="n">
        <v>15</v>
      </c>
      <c r="F160" s="51">
        <f>E160*$B$5*(1+$B$6)</f>
        <v>19500</v>
      </c>
      <c r="G160" s="51">
        <f>F160*$B$7</f>
        <v>48750</v>
      </c>
      <c r="H160" s="51">
        <f>G160-F160</f>
        <v>29250</v>
      </c>
      <c r="I160" s="52">
        <f>H160/G160</f>
        <v>0.6</v>
      </c>
      <c r="J160" s="53" t="n"/>
      <c r="K160" s="54" t="n"/>
    </row>
    <row r="161">
      <c r="A161" s="39" t="inlineStr">
        <is>
          <t>Armaf</t>
        </is>
      </c>
      <c r="B161" s="47" t="inlineStr">
        <is>
          <t>ARMAF BON BON DELIGHTS EDP 100ML</t>
        </is>
      </c>
      <c r="C161" s="48" t="n">
        <v>100</v>
      </c>
      <c r="D161" s="49" t="inlineStr">
        <is>
          <t>Árabe</t>
        </is>
      </c>
      <c r="E161" s="50" t="n">
        <v>40</v>
      </c>
      <c r="F161" s="51">
        <f>E161*$B$5*(1+$B$6)</f>
        <v>52000</v>
      </c>
      <c r="G161" s="51">
        <f>F161*$B$7</f>
        <v>130000</v>
      </c>
      <c r="H161" s="51">
        <f>G161-F161</f>
        <v>78000</v>
      </c>
      <c r="I161" s="52">
        <f>H161/G161</f>
        <v>0.6</v>
      </c>
      <c r="J161" s="53" t="n"/>
      <c r="K161" s="54" t="n"/>
    </row>
    <row r="162">
      <c r="A162" s="39" t="inlineStr">
        <is>
          <t>Armaf</t>
        </is>
      </c>
      <c r="B162" s="47" t="inlineStr">
        <is>
          <t>ARMAF CLUB DE NUIT BLING EDP 75ML</t>
        </is>
      </c>
      <c r="C162" s="48" t="n">
        <v>75</v>
      </c>
      <c r="D162" s="49" t="inlineStr">
        <is>
          <t>Árabe</t>
        </is>
      </c>
      <c r="E162" s="50" t="n">
        <v>33.9</v>
      </c>
      <c r="F162" s="51">
        <f>E162*$B$5*(1+$B$6)</f>
        <v>44070</v>
      </c>
      <c r="G162" s="51">
        <f>F162*$B$7</f>
        <v>110175</v>
      </c>
      <c r="H162" s="51">
        <f>G162-F162</f>
        <v>66105</v>
      </c>
      <c r="I162" s="52">
        <f>H162/G162</f>
        <v>0.6</v>
      </c>
      <c r="J162" s="53" t="n"/>
      <c r="K162" s="54" t="n"/>
    </row>
    <row r="163">
      <c r="A163" s="39" t="inlineStr">
        <is>
          <t>Armaf</t>
        </is>
      </c>
      <c r="B163" s="47" t="inlineStr">
        <is>
          <t>ARMAF CLUB DE NUIT ICONIC (BLUE) EDP 105ML</t>
        </is>
      </c>
      <c r="C163" s="48" t="n">
        <v>105</v>
      </c>
      <c r="D163" s="49" t="inlineStr">
        <is>
          <t>Árabe</t>
        </is>
      </c>
      <c r="E163" s="50" t="n">
        <v>28</v>
      </c>
      <c r="F163" s="51">
        <f>E163*$B$5*(1+$B$6)</f>
        <v>36400</v>
      </c>
      <c r="G163" s="51">
        <f>F163*$B$7</f>
        <v>91000</v>
      </c>
      <c r="H163" s="51">
        <f>G163-F163</f>
        <v>54600</v>
      </c>
      <c r="I163" s="52">
        <f>H163/G163</f>
        <v>0.6</v>
      </c>
      <c r="J163" s="53" t="n"/>
      <c r="K163" s="54" t="n"/>
    </row>
    <row r="164">
      <c r="A164" s="39" t="inlineStr">
        <is>
          <t>Armaf</t>
        </is>
      </c>
      <c r="B164" s="47" t="inlineStr">
        <is>
          <t>ARMAF CLUB DE NUIT INTENSE MAN EDP 200ML</t>
        </is>
      </c>
      <c r="C164" s="48" t="n">
        <v>200</v>
      </c>
      <c r="D164" s="49" t="inlineStr">
        <is>
          <t>Árabe</t>
        </is>
      </c>
      <c r="E164" s="50" t="n">
        <v>46</v>
      </c>
      <c r="F164" s="51">
        <f>E164*$B$5*(1+$B$6)</f>
        <v>59800</v>
      </c>
      <c r="G164" s="51">
        <f>F164*$B$7</f>
        <v>149500</v>
      </c>
      <c r="H164" s="51">
        <f>G164-F164</f>
        <v>89700</v>
      </c>
      <c r="I164" s="52">
        <f>H164/G164</f>
        <v>0.6</v>
      </c>
      <c r="J164" s="53" t="n"/>
      <c r="K164" s="54" t="n"/>
    </row>
    <row r="165">
      <c r="A165" s="39" t="inlineStr">
        <is>
          <t>Armaf</t>
        </is>
      </c>
      <c r="B165" s="47" t="inlineStr">
        <is>
          <t>ARMAF CLUB DE NUIT INTENSE MAN EDT 105ML</t>
        </is>
      </c>
      <c r="C165" s="48" t="n">
        <v>105</v>
      </c>
      <c r="D165" s="49" t="inlineStr">
        <is>
          <t>Árabe</t>
        </is>
      </c>
      <c r="E165" s="50" t="n">
        <v>25</v>
      </c>
      <c r="F165" s="51">
        <f>E165*$B$5*(1+$B$6)</f>
        <v>32500</v>
      </c>
      <c r="G165" s="51">
        <f>F165*$B$7</f>
        <v>81250</v>
      </c>
      <c r="H165" s="51">
        <f>G165-F165</f>
        <v>48750</v>
      </c>
      <c r="I165" s="52">
        <f>H165/G165</f>
        <v>0.6</v>
      </c>
      <c r="J165" s="53" t="n"/>
      <c r="K165" s="54" t="n"/>
    </row>
    <row r="166">
      <c r="A166" s="39" t="inlineStr">
        <is>
          <t>Armaf</t>
        </is>
      </c>
      <c r="B166" s="47" t="inlineStr">
        <is>
          <t>ARMAF CLUB DE NUIT LIONHEART MAN EDP 100ML MASCULINO</t>
        </is>
      </c>
      <c r="C166" s="48" t="n">
        <v>100</v>
      </c>
      <c r="D166" s="49" t="inlineStr">
        <is>
          <t>Árabe</t>
        </is>
      </c>
      <c r="E166" s="50" t="n">
        <v>29</v>
      </c>
      <c r="F166" s="51">
        <f>E166*$B$5*(1+$B$6)</f>
        <v>37700</v>
      </c>
      <c r="G166" s="51">
        <f>F166*$B$7</f>
        <v>94250</v>
      </c>
      <c r="H166" s="51">
        <f>G166-F166</f>
        <v>56550</v>
      </c>
      <c r="I166" s="52">
        <f>H166/G166</f>
        <v>0.6</v>
      </c>
      <c r="J166" s="53" t="n"/>
      <c r="K166" s="54" t="n"/>
    </row>
    <row r="167">
      <c r="A167" s="39" t="inlineStr">
        <is>
          <t>Armaf</t>
        </is>
      </c>
      <c r="B167" s="47" t="inlineStr">
        <is>
          <t>ARMAF CLUB DE NUIT LIONHEART WOMAN EDP 100ML FEMININO</t>
        </is>
      </c>
      <c r="C167" s="48" t="n">
        <v>100</v>
      </c>
      <c r="D167" s="49" t="inlineStr">
        <is>
          <t>Árabe</t>
        </is>
      </c>
      <c r="E167" s="50" t="n">
        <v>24</v>
      </c>
      <c r="F167" s="51">
        <f>E167*$B$5*(1+$B$6)</f>
        <v>31200</v>
      </c>
      <c r="G167" s="51">
        <f>F167*$B$7</f>
        <v>78000</v>
      </c>
      <c r="H167" s="51">
        <f>G167-F167</f>
        <v>46800</v>
      </c>
      <c r="I167" s="52">
        <f>H167/G167</f>
        <v>0.6</v>
      </c>
      <c r="J167" s="53" t="n"/>
      <c r="K167" s="54" t="n"/>
    </row>
    <row r="168">
      <c r="A168" s="39" t="inlineStr">
        <is>
          <t>Armaf</t>
        </is>
      </c>
      <c r="B168" s="47" t="inlineStr">
        <is>
          <t>ARMAF CLUB DE NUIT MILESTONE EDP 105ML</t>
        </is>
      </c>
      <c r="C168" s="48" t="n">
        <v>105</v>
      </c>
      <c r="D168" s="49" t="inlineStr">
        <is>
          <t>Árabe</t>
        </is>
      </c>
      <c r="E168" s="50" t="n">
        <v>22.75</v>
      </c>
      <c r="F168" s="51">
        <f>E168*$B$5*(1+$B$6)</f>
        <v>29575</v>
      </c>
      <c r="G168" s="51">
        <f>F168*$B$7</f>
        <v>73937.5</v>
      </c>
      <c r="H168" s="51">
        <f>G168-F168</f>
        <v>44362.5</v>
      </c>
      <c r="I168" s="52">
        <f>H168/G168</f>
        <v>0.6</v>
      </c>
      <c r="J168" s="53" t="n"/>
      <c r="K168" s="54" t="n"/>
    </row>
    <row r="169">
      <c r="A169" s="39" t="inlineStr">
        <is>
          <t>Armaf</t>
        </is>
      </c>
      <c r="B169" s="47" t="inlineStr">
        <is>
          <t>ARMAF CLUB DE NUIT PRECIEUX I EDP 55ML</t>
        </is>
      </c>
      <c r="C169" s="48" t="n">
        <v>55</v>
      </c>
      <c r="D169" s="49" t="inlineStr">
        <is>
          <t>Árabe</t>
        </is>
      </c>
      <c r="E169" s="50" t="n">
        <v>35</v>
      </c>
      <c r="F169" s="51">
        <f>E169*$B$5*(1+$B$6)</f>
        <v>45500</v>
      </c>
      <c r="G169" s="51">
        <f>F169*$B$7</f>
        <v>113750</v>
      </c>
      <c r="H169" s="51">
        <f>G169-F169</f>
        <v>68250</v>
      </c>
      <c r="I169" s="52">
        <f>H169/G169</f>
        <v>0.6</v>
      </c>
      <c r="J169" s="53" t="n"/>
      <c r="K169" s="54" t="n"/>
    </row>
    <row r="170">
      <c r="A170" s="39" t="inlineStr">
        <is>
          <t>Armaf</t>
        </is>
      </c>
      <c r="B170" s="47" t="inlineStr">
        <is>
          <t>ARMAF CLUB DE NUIT PRECIEUX IV EXT 55ML</t>
        </is>
      </c>
      <c r="C170" s="48" t="n">
        <v>55</v>
      </c>
      <c r="D170" s="49" t="inlineStr">
        <is>
          <t>Árabe</t>
        </is>
      </c>
      <c r="E170" s="50" t="n">
        <v>41.25</v>
      </c>
      <c r="F170" s="51">
        <f>E170*$B$5*(1+$B$6)</f>
        <v>53625</v>
      </c>
      <c r="G170" s="51">
        <f>F170*$B$7</f>
        <v>134062.5</v>
      </c>
      <c r="H170" s="51">
        <f>G170-F170</f>
        <v>80437.5</v>
      </c>
      <c r="I170" s="52">
        <f>H170/G170</f>
        <v>0.6</v>
      </c>
      <c r="J170" s="53" t="n"/>
      <c r="K170" s="54" t="n"/>
    </row>
    <row r="171">
      <c r="A171" s="39" t="inlineStr">
        <is>
          <t>Armaf</t>
        </is>
      </c>
      <c r="B171" s="47" t="inlineStr">
        <is>
          <t>ARMAF CLUB DE NUIT SILLAGE EDP 105ML</t>
        </is>
      </c>
      <c r="C171" s="48" t="n">
        <v>105</v>
      </c>
      <c r="D171" s="49" t="inlineStr">
        <is>
          <t>Árabe</t>
        </is>
      </c>
      <c r="E171" s="50" t="n">
        <v>24.5</v>
      </c>
      <c r="F171" s="51">
        <f>E171*$B$5*(1+$B$6)</f>
        <v>31850</v>
      </c>
      <c r="G171" s="51">
        <f>F171*$B$7</f>
        <v>79625</v>
      </c>
      <c r="H171" s="51">
        <f>G171-F171</f>
        <v>47775</v>
      </c>
      <c r="I171" s="52">
        <f>H171/G171</f>
        <v>0.6</v>
      </c>
      <c r="J171" s="53" t="n"/>
      <c r="K171" s="54" t="n"/>
    </row>
    <row r="172">
      <c r="A172" s="39" t="inlineStr">
        <is>
          <t>Armaf</t>
        </is>
      </c>
      <c r="B172" s="47" t="inlineStr">
        <is>
          <t>ARMAF CLUB DE NUIT UNTOLD EDP 105ML</t>
        </is>
      </c>
      <c r="C172" s="48" t="n">
        <v>105</v>
      </c>
      <c r="D172" s="49" t="inlineStr">
        <is>
          <t>Árabe</t>
        </is>
      </c>
      <c r="E172" s="50" t="n">
        <v>26.9</v>
      </c>
      <c r="F172" s="51">
        <f>E172*$B$5*(1+$B$6)</f>
        <v>34970</v>
      </c>
      <c r="G172" s="51">
        <f>F172*$B$7</f>
        <v>87425</v>
      </c>
      <c r="H172" s="51">
        <f>G172-F172</f>
        <v>52455</v>
      </c>
      <c r="I172" s="52">
        <f>H172/G172</f>
        <v>0.6</v>
      </c>
      <c r="J172" s="53" t="n"/>
      <c r="K172" s="54" t="n"/>
    </row>
    <row r="173">
      <c r="A173" s="39" t="inlineStr">
        <is>
          <t>Armaf</t>
        </is>
      </c>
      <c r="B173" s="47" t="inlineStr">
        <is>
          <t>ARMAF CLUB DE NUIT URBAN MAN EDP 105ML</t>
        </is>
      </c>
      <c r="C173" s="48" t="n">
        <v>105</v>
      </c>
      <c r="D173" s="49" t="inlineStr">
        <is>
          <t>Árabe</t>
        </is>
      </c>
      <c r="E173" s="50" t="n">
        <v>24.5</v>
      </c>
      <c r="F173" s="51">
        <f>E173*$B$5*(1+$B$6)</f>
        <v>31850</v>
      </c>
      <c r="G173" s="51">
        <f>F173*$B$7</f>
        <v>79625</v>
      </c>
      <c r="H173" s="51">
        <f>G173-F173</f>
        <v>47775</v>
      </c>
      <c r="I173" s="52">
        <f>H173/G173</f>
        <v>0.6</v>
      </c>
      <c r="J173" s="53" t="n"/>
      <c r="K173" s="54" t="n"/>
    </row>
    <row r="174">
      <c r="A174" s="39" t="inlineStr">
        <is>
          <t>Armaf</t>
        </is>
      </c>
      <c r="B174" s="47" t="inlineStr">
        <is>
          <t>ARMAF CLUB DE NUIT URBAN MAN ELIXIR EDP 105ML</t>
        </is>
      </c>
      <c r="C174" s="48" t="n">
        <v>105</v>
      </c>
      <c r="D174" s="49" t="inlineStr">
        <is>
          <t>Árabe</t>
        </is>
      </c>
      <c r="E174" s="50" t="n">
        <v>24</v>
      </c>
      <c r="F174" s="51">
        <f>E174*$B$5*(1+$B$6)</f>
        <v>31200</v>
      </c>
      <c r="G174" s="51">
        <f>F174*$B$7</f>
        <v>78000</v>
      </c>
      <c r="H174" s="51">
        <f>G174-F174</f>
        <v>46800</v>
      </c>
      <c r="I174" s="52">
        <f>H174/G174</f>
        <v>0.6</v>
      </c>
      <c r="J174" s="53" t="n"/>
      <c r="K174" s="54" t="n"/>
    </row>
    <row r="175">
      <c r="A175" s="39" t="inlineStr">
        <is>
          <t>Armaf</t>
        </is>
      </c>
      <c r="B175" s="47" t="inlineStr">
        <is>
          <t>ARMAF CLUB DE NUIT WOMAN EXTRAIT DE PARFUM 70ML</t>
        </is>
      </c>
      <c r="C175" s="48" t="n">
        <v>70</v>
      </c>
      <c r="D175" s="49" t="inlineStr">
        <is>
          <t>Árabe</t>
        </is>
      </c>
      <c r="E175" s="50" t="n">
        <v>30</v>
      </c>
      <c r="F175" s="51">
        <f>E175*$B$5*(1+$B$6)</f>
        <v>39000</v>
      </c>
      <c r="G175" s="51">
        <f>F175*$B$7</f>
        <v>97500</v>
      </c>
      <c r="H175" s="51">
        <f>G175-F175</f>
        <v>58500</v>
      </c>
      <c r="I175" s="52">
        <f>H175/G175</f>
        <v>0.6</v>
      </c>
      <c r="J175" s="53" t="n"/>
      <c r="K175" s="54" t="n"/>
    </row>
    <row r="176">
      <c r="A176" s="39" t="inlineStr">
        <is>
          <t>Armaf</t>
        </is>
      </c>
      <c r="B176" s="47" t="inlineStr">
        <is>
          <t>ARMAF DUNESCAPE EDP 100ML</t>
        </is>
      </c>
      <c r="C176" s="48" t="n">
        <v>100</v>
      </c>
      <c r="D176" s="49" t="inlineStr">
        <is>
          <t>Árabe</t>
        </is>
      </c>
      <c r="E176" s="50" t="n">
        <v>28.5</v>
      </c>
      <c r="F176" s="51">
        <f>E176*$B$5*(1+$B$6)</f>
        <v>37050</v>
      </c>
      <c r="G176" s="51">
        <f>F176*$B$7</f>
        <v>92625</v>
      </c>
      <c r="H176" s="51">
        <f>G176-F176</f>
        <v>55575</v>
      </c>
      <c r="I176" s="52">
        <f>H176/G176</f>
        <v>0.6</v>
      </c>
      <c r="J176" s="53" t="n"/>
      <c r="K176" s="54" t="n"/>
    </row>
    <row r="177">
      <c r="A177" s="39" t="inlineStr">
        <is>
          <t>Armaf</t>
        </is>
      </c>
      <c r="B177" s="47" t="inlineStr">
        <is>
          <t>ARMAF KIT CLUB DE NUIT 10PCS*10ML</t>
        </is>
      </c>
      <c r="C177" s="48" t="n">
        <v>10</v>
      </c>
      <c r="D177" s="49" t="inlineStr">
        <is>
          <t>Árabe</t>
        </is>
      </c>
      <c r="E177" s="50" t="n">
        <v>35</v>
      </c>
      <c r="F177" s="51">
        <f>E177*$B$5*(1+$B$6)</f>
        <v>45500</v>
      </c>
      <c r="G177" s="51">
        <f>F177*$B$7</f>
        <v>113750</v>
      </c>
      <c r="H177" s="51">
        <f>G177-F177</f>
        <v>68250</v>
      </c>
      <c r="I177" s="52">
        <f>H177/G177</f>
        <v>0.6</v>
      </c>
      <c r="J177" s="53" t="n"/>
      <c r="K177" s="54" t="n"/>
    </row>
    <row r="178">
      <c r="A178" s="39" t="inlineStr">
        <is>
          <t>Armaf</t>
        </is>
      </c>
      <c r="B178" s="47" t="inlineStr">
        <is>
          <t>ARMAF ODYSSEY AOUD EDP 100ML</t>
        </is>
      </c>
      <c r="C178" s="48" t="n">
        <v>100</v>
      </c>
      <c r="D178" s="49" t="inlineStr">
        <is>
          <t>Árabe</t>
        </is>
      </c>
      <c r="E178" s="50" t="n">
        <v>14</v>
      </c>
      <c r="F178" s="51">
        <f>E178*$B$5*(1+$B$6)</f>
        <v>18200</v>
      </c>
      <c r="G178" s="51">
        <f>F178*$B$7</f>
        <v>45500</v>
      </c>
      <c r="H178" s="51">
        <f>G178-F178</f>
        <v>27300</v>
      </c>
      <c r="I178" s="52">
        <f>H178/G178</f>
        <v>0.6</v>
      </c>
      <c r="J178" s="53" t="n"/>
      <c r="K178" s="54" t="n"/>
    </row>
    <row r="179">
      <c r="A179" s="39" t="inlineStr">
        <is>
          <t>Armaf</t>
        </is>
      </c>
      <c r="B179" s="47" t="inlineStr">
        <is>
          <t>ARMAF ODYSSEY BA HA MAS TROPICAL COLLECTION EDP 100ML</t>
        </is>
      </c>
      <c r="C179" s="48" t="n">
        <v>100</v>
      </c>
      <c r="D179" s="49" t="inlineStr">
        <is>
          <t>Árabe</t>
        </is>
      </c>
      <c r="E179" s="50" t="n">
        <v>19</v>
      </c>
      <c r="F179" s="51">
        <f>E179*$B$5*(1+$B$6)</f>
        <v>24700</v>
      </c>
      <c r="G179" s="51">
        <f>F179*$B$7</f>
        <v>61750</v>
      </c>
      <c r="H179" s="51">
        <f>G179-F179</f>
        <v>37050</v>
      </c>
      <c r="I179" s="52">
        <f>H179/G179</f>
        <v>0.6</v>
      </c>
      <c r="J179" s="53" t="n"/>
      <c r="K179" s="54" t="n"/>
    </row>
    <row r="180">
      <c r="A180" s="39" t="inlineStr">
        <is>
          <t>Armaf</t>
        </is>
      </c>
      <c r="B180" s="47" t="inlineStr">
        <is>
          <t>ARMAF ODYSSEY CANDEE EDP 100ML FEM</t>
        </is>
      </c>
      <c r="C180" s="48" t="n">
        <v>100</v>
      </c>
      <c r="D180" s="49" t="inlineStr">
        <is>
          <t>Árabe</t>
        </is>
      </c>
      <c r="E180" s="50" t="n">
        <v>15.9</v>
      </c>
      <c r="F180" s="51">
        <f>E180*$B$5*(1+$B$6)</f>
        <v>20670</v>
      </c>
      <c r="G180" s="51">
        <f>F180*$B$7</f>
        <v>51675</v>
      </c>
      <c r="H180" s="51">
        <f>G180-F180</f>
        <v>31005</v>
      </c>
      <c r="I180" s="52">
        <f>H180/G180</f>
        <v>0.6</v>
      </c>
      <c r="J180" s="53" t="n"/>
      <c r="K180" s="54" t="n"/>
    </row>
    <row r="181">
      <c r="A181" s="39" t="inlineStr">
        <is>
          <t>Armaf</t>
        </is>
      </c>
      <c r="B181" s="47" t="inlineStr">
        <is>
          <t>ARMAF ODYSSEY FEMME EDP 80ML</t>
        </is>
      </c>
      <c r="C181" s="48" t="n">
        <v>80</v>
      </c>
      <c r="D181" s="49" t="inlineStr">
        <is>
          <t>Árabe</t>
        </is>
      </c>
      <c r="E181" s="50" t="n">
        <v>17.5</v>
      </c>
      <c r="F181" s="51">
        <f>E181*$B$5*(1+$B$6)</f>
        <v>22750</v>
      </c>
      <c r="G181" s="51">
        <f>F181*$B$7</f>
        <v>56875</v>
      </c>
      <c r="H181" s="51">
        <f>G181-F181</f>
        <v>34125</v>
      </c>
      <c r="I181" s="52">
        <f>H181/G181</f>
        <v>0.6</v>
      </c>
      <c r="J181" s="53" t="n"/>
      <c r="K181" s="54" t="n"/>
    </row>
    <row r="182">
      <c r="A182" s="39" t="inlineStr">
        <is>
          <t>Armaf</t>
        </is>
      </c>
      <c r="B182" s="47" t="inlineStr">
        <is>
          <t>ARMAF ODYSSEY GO MANGO EDP 100ML</t>
        </is>
      </c>
      <c r="C182" s="48" t="n">
        <v>100</v>
      </c>
      <c r="D182" s="49" t="inlineStr">
        <is>
          <t>Árabe</t>
        </is>
      </c>
      <c r="E182" s="50" t="n">
        <v>19</v>
      </c>
      <c r="F182" s="51">
        <f>E182*$B$5*(1+$B$6)</f>
        <v>24700</v>
      </c>
      <c r="G182" s="51">
        <f>F182*$B$7</f>
        <v>61750</v>
      </c>
      <c r="H182" s="51">
        <f>G182-F182</f>
        <v>37050</v>
      </c>
      <c r="I182" s="52">
        <f>H182/G182</f>
        <v>0.6</v>
      </c>
      <c r="J182" s="53" t="n"/>
      <c r="K182" s="54" t="n"/>
    </row>
    <row r="183">
      <c r="A183" s="39" t="inlineStr">
        <is>
          <t>Armaf</t>
        </is>
      </c>
      <c r="B183" s="47" t="inlineStr">
        <is>
          <t>ARMAF ODYSSEY HOMME (BLACK) EDP 100ML</t>
        </is>
      </c>
      <c r="C183" s="48" t="n">
        <v>100</v>
      </c>
      <c r="D183" s="49" t="inlineStr">
        <is>
          <t>Árabe</t>
        </is>
      </c>
      <c r="E183" s="50" t="n">
        <v>16.5</v>
      </c>
      <c r="F183" s="51">
        <f>E183*$B$5*(1+$B$6)</f>
        <v>21450</v>
      </c>
      <c r="G183" s="51">
        <f>F183*$B$7</f>
        <v>53625</v>
      </c>
      <c r="H183" s="51">
        <f>G183-F183</f>
        <v>32175</v>
      </c>
      <c r="I183" s="52">
        <f>H183/G183</f>
        <v>0.6</v>
      </c>
      <c r="J183" s="53" t="n"/>
      <c r="K183" s="54" t="n"/>
    </row>
    <row r="184">
      <c r="A184" s="39" t="inlineStr">
        <is>
          <t>Armaf</t>
        </is>
      </c>
      <c r="B184" s="47" t="inlineStr">
        <is>
          <t>ARMAF ODYSSEY HOMME (BLACK) EDP 200ML</t>
        </is>
      </c>
      <c r="C184" s="48" t="n">
        <v>200</v>
      </c>
      <c r="D184" s="49" t="inlineStr">
        <is>
          <t>Árabe</t>
        </is>
      </c>
      <c r="E184" s="50" t="n">
        <v>27</v>
      </c>
      <c r="F184" s="51">
        <f>E184*$B$5*(1+$B$6)</f>
        <v>35100</v>
      </c>
      <c r="G184" s="51">
        <f>F184*$B$7</f>
        <v>87750</v>
      </c>
      <c r="H184" s="51">
        <f>G184-F184</f>
        <v>52650</v>
      </c>
      <c r="I184" s="52">
        <f>H184/G184</f>
        <v>0.6</v>
      </c>
      <c r="J184" s="53" t="n"/>
      <c r="K184" s="54" t="n"/>
    </row>
    <row r="185">
      <c r="A185" s="39" t="inlineStr">
        <is>
          <t>Armaf</t>
        </is>
      </c>
      <c r="B185" s="47" t="inlineStr">
        <is>
          <t>ARMAF ODYSSEY HOMME WHITE EDITION EDP 100ML</t>
        </is>
      </c>
      <c r="C185" s="48" t="n">
        <v>100</v>
      </c>
      <c r="D185" s="49" t="inlineStr">
        <is>
          <t>Árabe</t>
        </is>
      </c>
      <c r="E185" s="50" t="n">
        <v>16.9</v>
      </c>
      <c r="F185" s="51">
        <f>E185*$B$5*(1+$B$6)</f>
        <v>21970</v>
      </c>
      <c r="G185" s="51">
        <f>F185*$B$7</f>
        <v>54925</v>
      </c>
      <c r="H185" s="51">
        <f>G185-F185</f>
        <v>32955</v>
      </c>
      <c r="I185" s="52">
        <f>H185/G185</f>
        <v>0.6</v>
      </c>
      <c r="J185" s="53" t="n"/>
      <c r="K185" s="54" t="n"/>
    </row>
    <row r="186">
      <c r="A186" s="39" t="inlineStr">
        <is>
          <t>Armaf</t>
        </is>
      </c>
      <c r="B186" s="47" t="inlineStr">
        <is>
          <t>ARMAF ODYSSEY LIMONI (FRESH EDITION) EDP 100ML</t>
        </is>
      </c>
      <c r="C186" s="48" t="n">
        <v>100</v>
      </c>
      <c r="D186" s="49" t="inlineStr">
        <is>
          <t>Árabe</t>
        </is>
      </c>
      <c r="E186" s="50" t="n">
        <v>16.5</v>
      </c>
      <c r="F186" s="51">
        <f>E186*$B$5*(1+$B$6)</f>
        <v>21450</v>
      </c>
      <c r="G186" s="51">
        <f>F186*$B$7</f>
        <v>53625</v>
      </c>
      <c r="H186" s="51">
        <f>G186-F186</f>
        <v>32175</v>
      </c>
      <c r="I186" s="52">
        <f>H186/G186</f>
        <v>0.6</v>
      </c>
      <c r="J186" s="53" t="n"/>
      <c r="K186" s="54" t="n"/>
    </row>
    <row r="187">
      <c r="A187" s="39" t="inlineStr">
        <is>
          <t>Armaf</t>
        </is>
      </c>
      <c r="B187" s="47" t="inlineStr">
        <is>
          <t>ARMAF ODYSSEY MANDARIN SKY EDP 100ML MASC</t>
        </is>
      </c>
      <c r="C187" s="48" t="n">
        <v>100</v>
      </c>
      <c r="D187" s="49" t="inlineStr">
        <is>
          <t>Árabe</t>
        </is>
      </c>
      <c r="E187" s="50" t="n">
        <v>50</v>
      </c>
      <c r="F187" s="51">
        <f>E187*$B$5*(1+$B$6)</f>
        <v>65000</v>
      </c>
      <c r="G187" s="51">
        <f>F187*$B$7</f>
        <v>162500</v>
      </c>
      <c r="H187" s="51">
        <f>G187-F187</f>
        <v>97500</v>
      </c>
      <c r="I187" s="52">
        <f>H187/G187</f>
        <v>0.6</v>
      </c>
      <c r="J187" s="53" t="n"/>
      <c r="K187" s="54" t="n"/>
    </row>
    <row r="188">
      <c r="A188" s="39" t="inlineStr">
        <is>
          <t>Armaf</t>
        </is>
      </c>
      <c r="B188" s="47" t="inlineStr">
        <is>
          <t>ARMAF ODYSSEY MANDARIN SKY EDP 200ML MASC</t>
        </is>
      </c>
      <c r="C188" s="48" t="n">
        <v>200</v>
      </c>
      <c r="D188" s="49" t="inlineStr">
        <is>
          <t>Árabe</t>
        </is>
      </c>
      <c r="E188" s="50" t="n">
        <v>38</v>
      </c>
      <c r="F188" s="51">
        <f>E188*$B$5*(1+$B$6)</f>
        <v>49400</v>
      </c>
      <c r="G188" s="51">
        <f>F188*$B$7</f>
        <v>123500</v>
      </c>
      <c r="H188" s="51">
        <f>G188-F188</f>
        <v>74100</v>
      </c>
      <c r="I188" s="52">
        <f>H188/G188</f>
        <v>0.6</v>
      </c>
      <c r="J188" s="53" t="n"/>
      <c r="K188" s="54" t="n"/>
    </row>
    <row r="189">
      <c r="A189" s="39" t="inlineStr">
        <is>
          <t>Armaf</t>
        </is>
      </c>
      <c r="B189" s="47" t="inlineStr">
        <is>
          <t>ARMAF ODYSSEY MARSHMALLOW EDP 100ML</t>
        </is>
      </c>
      <c r="C189" s="48" t="n">
        <v>100</v>
      </c>
      <c r="D189" s="49" t="inlineStr">
        <is>
          <t>Árabe</t>
        </is>
      </c>
      <c r="E189" s="50" t="n">
        <v>19</v>
      </c>
      <c r="F189" s="51">
        <f>E189*$B$5*(1+$B$6)</f>
        <v>24700</v>
      </c>
      <c r="G189" s="51">
        <f>F189*$B$7</f>
        <v>61750</v>
      </c>
      <c r="H189" s="51">
        <f>G189-F189</f>
        <v>37050</v>
      </c>
      <c r="I189" s="52">
        <f>H189/G189</f>
        <v>0.6</v>
      </c>
      <c r="J189" s="53" t="n"/>
      <c r="K189" s="54" t="n"/>
    </row>
    <row r="190">
      <c r="A190" s="39" t="inlineStr">
        <is>
          <t>Armaf</t>
        </is>
      </c>
      <c r="B190" s="47" t="inlineStr">
        <is>
          <t>ARMAF ODYSSEY REVOLUTION ULTRA EDITION EDP 100ML</t>
        </is>
      </c>
      <c r="C190" s="48" t="n">
        <v>100</v>
      </c>
      <c r="D190" s="49" t="inlineStr">
        <is>
          <t>Árabe</t>
        </is>
      </c>
      <c r="E190" s="50" t="n">
        <v>16.5</v>
      </c>
      <c r="F190" s="51">
        <f>E190*$B$5*(1+$B$6)</f>
        <v>21450</v>
      </c>
      <c r="G190" s="51">
        <f>F190*$B$7</f>
        <v>53625</v>
      </c>
      <c r="H190" s="51">
        <f>G190-F190</f>
        <v>32175</v>
      </c>
      <c r="I190" s="52">
        <f>H190/G190</f>
        <v>0.6</v>
      </c>
      <c r="J190" s="53" t="n"/>
      <c r="K190" s="54" t="n"/>
    </row>
    <row r="191">
      <c r="A191" s="39" t="inlineStr">
        <is>
          <t>Armaf</t>
        </is>
      </c>
      <c r="B191" s="47" t="inlineStr">
        <is>
          <t>ARMAF ODYSSEY SPECTRA (RAINBOW EDITION) EDP 100ML</t>
        </is>
      </c>
      <c r="C191" s="48" t="n">
        <v>100</v>
      </c>
      <c r="D191" s="49" t="inlineStr">
        <is>
          <t>Árabe</t>
        </is>
      </c>
      <c r="E191" s="50" t="n">
        <v>16.5</v>
      </c>
      <c r="F191" s="51">
        <f>E191*$B$5*(1+$B$6)</f>
        <v>21450</v>
      </c>
      <c r="G191" s="51">
        <f>F191*$B$7</f>
        <v>53625</v>
      </c>
      <c r="H191" s="51">
        <f>G191-F191</f>
        <v>32175</v>
      </c>
      <c r="I191" s="52">
        <f>H191/G191</f>
        <v>0.6</v>
      </c>
      <c r="J191" s="53" t="n"/>
      <c r="K191" s="54" t="n"/>
    </row>
    <row r="192">
      <c r="A192" s="39" t="inlineStr">
        <is>
          <t>Armaf</t>
        </is>
      </c>
      <c r="B192" s="47" t="inlineStr">
        <is>
          <t>ARMAF ODYSSEY TYRANT EDP 100ML</t>
        </is>
      </c>
      <c r="C192" s="48" t="n">
        <v>100</v>
      </c>
      <c r="D192" s="49" t="inlineStr">
        <is>
          <t>Árabe</t>
        </is>
      </c>
      <c r="E192" s="50" t="n">
        <v>16.75</v>
      </c>
      <c r="F192" s="51">
        <f>E192*$B$5*(1+$B$6)</f>
        <v>21775</v>
      </c>
      <c r="G192" s="51">
        <f>F192*$B$7</f>
        <v>54437.5</v>
      </c>
      <c r="H192" s="51">
        <f>G192-F192</f>
        <v>32662.5</v>
      </c>
      <c r="I192" s="52">
        <f>H192/G192</f>
        <v>0.6</v>
      </c>
      <c r="J192" s="53" t="n"/>
      <c r="K192" s="54" t="n"/>
    </row>
    <row r="193">
      <c r="A193" s="39" t="inlineStr">
        <is>
          <t>Armaf</t>
        </is>
      </c>
      <c r="B193" s="47" t="inlineStr">
        <is>
          <t>ARMAF ODYSSEY WILD ONE EDP 100ML</t>
        </is>
      </c>
      <c r="C193" s="48" t="n">
        <v>100</v>
      </c>
      <c r="D193" s="49" t="inlineStr">
        <is>
          <t>Árabe</t>
        </is>
      </c>
      <c r="E193" s="50" t="n">
        <v>14.5</v>
      </c>
      <c r="F193" s="51">
        <f>E193*$B$5*(1+$B$6)</f>
        <v>18850</v>
      </c>
      <c r="G193" s="51">
        <f>F193*$B$7</f>
        <v>47125</v>
      </c>
      <c r="H193" s="51">
        <f>G193-F193</f>
        <v>28275</v>
      </c>
      <c r="I193" s="52">
        <f>H193/G193</f>
        <v>0.6</v>
      </c>
      <c r="J193" s="53" t="n"/>
      <c r="K193" s="54" t="n"/>
    </row>
    <row r="194">
      <c r="A194" s="39" t="inlineStr">
        <is>
          <t>Armaf</t>
        </is>
      </c>
      <c r="B194" s="47" t="inlineStr">
        <is>
          <t>ARMAF RED SKY EDP 105ML</t>
        </is>
      </c>
      <c r="C194" s="48" t="n">
        <v>105</v>
      </c>
      <c r="D194" s="49" t="inlineStr">
        <is>
          <t>Árabe</t>
        </is>
      </c>
      <c r="E194" s="50" t="n">
        <v>25</v>
      </c>
      <c r="F194" s="51">
        <f>E194*$B$5*(1+$B$6)</f>
        <v>32500</v>
      </c>
      <c r="G194" s="51">
        <f>F194*$B$7</f>
        <v>81250</v>
      </c>
      <c r="H194" s="51">
        <f>G194-F194</f>
        <v>48750</v>
      </c>
      <c r="I194" s="52">
        <f>H194/G194</f>
        <v>0.6</v>
      </c>
      <c r="J194" s="53" t="n"/>
      <c r="K194" s="54" t="n"/>
    </row>
    <row r="195">
      <c r="A195" s="39" t="inlineStr">
        <is>
          <t>Armaf</t>
        </is>
      </c>
      <c r="B195" s="47" t="inlineStr">
        <is>
          <t>Club de Nuit Man EDT</t>
        </is>
      </c>
      <c r="C195" s="48" t="n">
        <v>105</v>
      </c>
      <c r="D195" s="49" t="inlineStr">
        <is>
          <t>Árabe</t>
        </is>
      </c>
      <c r="E195" s="50" t="n">
        <v>20.5</v>
      </c>
      <c r="F195" s="51">
        <f>E195*$B$5*(1+$B$6)</f>
        <v>26650</v>
      </c>
      <c r="G195" s="51">
        <f>F195*$B$7</f>
        <v>66625</v>
      </c>
      <c r="H195" s="51">
        <f>G195-F195</f>
        <v>39975</v>
      </c>
      <c r="I195" s="52">
        <f>H195/G195</f>
        <v>0.6</v>
      </c>
      <c r="J195" s="53" t="n">
        <v>57000</v>
      </c>
      <c r="K195" s="54" t="inlineStr">
        <is>
          <t>Bestseller en AR (Intense Man, +50mil vend.) ~$55-75k</t>
        </is>
      </c>
    </row>
    <row r="196">
      <c r="A196" s="39" t="inlineStr">
        <is>
          <t>Armaf</t>
        </is>
      </c>
      <c r="B196" s="47" t="inlineStr">
        <is>
          <t>DESODORANTE ARMAF CLUB DE NUIT WOMAN INTENSE 200ML</t>
        </is>
      </c>
      <c r="C196" s="48" t="n">
        <v>200</v>
      </c>
      <c r="D196" s="49" t="inlineStr">
        <is>
          <t>Árabe</t>
        </is>
      </c>
      <c r="E196" s="50" t="n">
        <v>3.25</v>
      </c>
      <c r="F196" s="51">
        <f>E196*$B$5*(1+$B$6)</f>
        <v>4225</v>
      </c>
      <c r="G196" s="51">
        <f>F196*$B$7</f>
        <v>10562.5</v>
      </c>
      <c r="H196" s="51">
        <f>G196-F196</f>
        <v>6337.5</v>
      </c>
      <c r="I196" s="52">
        <f>H196/G196</f>
        <v>0.6</v>
      </c>
      <c r="J196" s="53" t="n"/>
      <c r="K196" s="54" t="n"/>
    </row>
    <row r="197">
      <c r="A197" s="39" t="inlineStr">
        <is>
          <t>Armaf</t>
        </is>
      </c>
      <c r="B197" s="47" t="inlineStr">
        <is>
          <t>DESODORANTE ARMAF HOMME FOR MEN 200ML</t>
        </is>
      </c>
      <c r="C197" s="48" t="n">
        <v>200</v>
      </c>
      <c r="D197" s="49" t="inlineStr">
        <is>
          <t>Árabe</t>
        </is>
      </c>
      <c r="E197" s="50" t="n">
        <v>3</v>
      </c>
      <c r="F197" s="51">
        <f>E197*$B$5*(1+$B$6)</f>
        <v>3900</v>
      </c>
      <c r="G197" s="51">
        <f>F197*$B$7</f>
        <v>9750</v>
      </c>
      <c r="H197" s="51">
        <f>G197-F197</f>
        <v>5850</v>
      </c>
      <c r="I197" s="52">
        <f>H197/G197</f>
        <v>0.6</v>
      </c>
      <c r="J197" s="53" t="n"/>
      <c r="K197" s="54" t="n"/>
    </row>
    <row r="198">
      <c r="A198" s="39" t="inlineStr">
        <is>
          <t>Armaf</t>
        </is>
      </c>
      <c r="B198" s="47" t="inlineStr">
        <is>
          <t>DESODORANTE ARMAF LE PARFAIT PANACHE POUR FEMME 200ML</t>
        </is>
      </c>
      <c r="C198" s="48" t="n">
        <v>200</v>
      </c>
      <c r="D198" s="49" t="inlineStr">
        <is>
          <t>Árabe</t>
        </is>
      </c>
      <c r="E198" s="50" t="n">
        <v>3</v>
      </c>
      <c r="F198" s="51">
        <f>E198*$B$5*(1+$B$6)</f>
        <v>3900</v>
      </c>
      <c r="G198" s="51">
        <f>F198*$B$7</f>
        <v>9750</v>
      </c>
      <c r="H198" s="51">
        <f>G198-F198</f>
        <v>5850</v>
      </c>
      <c r="I198" s="52">
        <f>H198/G198</f>
        <v>0.6</v>
      </c>
      <c r="J198" s="53" t="n"/>
      <c r="K198" s="54" t="n"/>
    </row>
    <row r="199">
      <c r="A199" s="39" t="inlineStr">
        <is>
          <t>Armaf</t>
        </is>
      </c>
      <c r="B199" s="47" t="inlineStr">
        <is>
          <t>DESODORANTE ARMAF ODYSSEY AOUD 200ML</t>
        </is>
      </c>
      <c r="C199" s="48" t="n">
        <v>200</v>
      </c>
      <c r="D199" s="49" t="inlineStr">
        <is>
          <t>Árabe</t>
        </is>
      </c>
      <c r="E199" s="50" t="n">
        <v>3</v>
      </c>
      <c r="F199" s="51">
        <f>E199*$B$5*(1+$B$6)</f>
        <v>3900</v>
      </c>
      <c r="G199" s="51">
        <f>F199*$B$7</f>
        <v>9750</v>
      </c>
      <c r="H199" s="51">
        <f>G199-F199</f>
        <v>5850</v>
      </c>
      <c r="I199" s="52">
        <f>H199/G199</f>
        <v>0.6</v>
      </c>
      <c r="J199" s="53" t="n"/>
      <c r="K199" s="54" t="n"/>
    </row>
    <row r="200">
      <c r="A200" s="39" t="inlineStr">
        <is>
          <t>Armaf</t>
        </is>
      </c>
      <c r="B200" s="47" t="inlineStr">
        <is>
          <t>DESODORANTE ARMAF ODYSSEY CHOCOLATE 200ML</t>
        </is>
      </c>
      <c r="C200" s="48" t="n">
        <v>200</v>
      </c>
      <c r="D200" s="49" t="inlineStr">
        <is>
          <t>Árabe</t>
        </is>
      </c>
      <c r="E200" s="50" t="n">
        <v>2.75</v>
      </c>
      <c r="F200" s="51">
        <f>E200*$B$5*(1+$B$6)</f>
        <v>3575</v>
      </c>
      <c r="G200" s="51">
        <f>F200*$B$7</f>
        <v>8937.5</v>
      </c>
      <c r="H200" s="51">
        <f>G200-F200</f>
        <v>5362.5</v>
      </c>
      <c r="I200" s="52">
        <f>H200/G200</f>
        <v>0.6</v>
      </c>
      <c r="J200" s="53" t="n"/>
      <c r="K200" s="54" t="n"/>
    </row>
    <row r="201">
      <c r="A201" s="39" t="inlineStr">
        <is>
          <t>Armaf</t>
        </is>
      </c>
      <c r="B201" s="47" t="inlineStr">
        <is>
          <t>DESODORANTE ARMAF TAG HER FOR WOMEN 200ML</t>
        </is>
      </c>
      <c r="C201" s="48" t="n">
        <v>200</v>
      </c>
      <c r="D201" s="49" t="inlineStr">
        <is>
          <t>Árabe</t>
        </is>
      </c>
      <c r="E201" s="50" t="n">
        <v>3</v>
      </c>
      <c r="F201" s="51">
        <f>E201*$B$5*(1+$B$6)</f>
        <v>3900</v>
      </c>
      <c r="G201" s="51">
        <f>F201*$B$7</f>
        <v>9750</v>
      </c>
      <c r="H201" s="51">
        <f>G201-F201</f>
        <v>5850</v>
      </c>
      <c r="I201" s="52">
        <f>H201/G201</f>
        <v>0.6</v>
      </c>
      <c r="J201" s="53" t="n"/>
      <c r="K201" s="54" t="n"/>
    </row>
    <row r="202">
      <c r="A202" s="39" t="inlineStr">
        <is>
          <t>Armaf</t>
        </is>
      </c>
      <c r="B202" s="47" t="inlineStr">
        <is>
          <t>DESODORANTE ARMAF THE PRIDE OF ARMAF POUR HOMME 200ML</t>
        </is>
      </c>
      <c r="C202" s="48" t="n">
        <v>200</v>
      </c>
      <c r="D202" s="49" t="inlineStr">
        <is>
          <t>Árabe</t>
        </is>
      </c>
      <c r="E202" s="50" t="n">
        <v>3</v>
      </c>
      <c r="F202" s="51">
        <f>E202*$B$5*(1+$B$6)</f>
        <v>3900</v>
      </c>
      <c r="G202" s="51">
        <f>F202*$B$7</f>
        <v>9750</v>
      </c>
      <c r="H202" s="51">
        <f>G202-F202</f>
        <v>5850</v>
      </c>
      <c r="I202" s="52">
        <f>H202/G202</f>
        <v>0.6</v>
      </c>
      <c r="J202" s="53" t="n"/>
      <c r="K202" s="54" t="n"/>
    </row>
    <row r="203">
      <c r="A203" s="39" t="inlineStr">
        <is>
          <t>Armaf</t>
        </is>
      </c>
      <c r="B203" s="47" t="inlineStr">
        <is>
          <t>DESODORANTE ARMAF VOYAGE BLEU 200ML</t>
        </is>
      </c>
      <c r="C203" s="48" t="n">
        <v>200</v>
      </c>
      <c r="D203" s="49" t="inlineStr">
        <is>
          <t>Árabe</t>
        </is>
      </c>
      <c r="E203" s="50" t="n">
        <v>2.75</v>
      </c>
      <c r="F203" s="51">
        <f>E203*$B$5*(1+$B$6)</f>
        <v>3575</v>
      </c>
      <c r="G203" s="51">
        <f>F203*$B$7</f>
        <v>8937.5</v>
      </c>
      <c r="H203" s="51">
        <f>G203-F203</f>
        <v>5362.5</v>
      </c>
      <c r="I203" s="52">
        <f>H203/G203</f>
        <v>0.6</v>
      </c>
      <c r="J203" s="53" t="n"/>
      <c r="K203" s="54" t="n"/>
    </row>
    <row r="204">
      <c r="A204" s="39" t="inlineStr">
        <is>
          <t>Attracione</t>
        </is>
      </c>
      <c r="B204" s="47" t="inlineStr">
        <is>
          <t>ATTRACIONE MEN PERFUME DE FEROMONAS VERMELHO 25ML</t>
        </is>
      </c>
      <c r="C204" s="48" t="n">
        <v>25</v>
      </c>
      <c r="D204" s="49" t="inlineStr">
        <is>
          <t>Árabe</t>
        </is>
      </c>
      <c r="E204" s="50" t="n">
        <v>12.5</v>
      </c>
      <c r="F204" s="51">
        <f>E204*$B$5*(1+$B$6)</f>
        <v>16250</v>
      </c>
      <c r="G204" s="51">
        <f>F204*$B$7</f>
        <v>40625</v>
      </c>
      <c r="H204" s="51">
        <f>G204-F204</f>
        <v>24375</v>
      </c>
      <c r="I204" s="52">
        <f>H204/G204</f>
        <v>0.6</v>
      </c>
      <c r="J204" s="53" t="n"/>
      <c r="K204" s="54" t="inlineStr">
        <is>
          <t>clon/genérico</t>
        </is>
      </c>
    </row>
    <row r="205">
      <c r="A205" s="39" t="inlineStr">
        <is>
          <t>Azzaro</t>
        </is>
      </c>
      <c r="B205" s="47" t="inlineStr">
        <is>
          <t>AZZARO CHROME AZURE EDT 100ML MASC</t>
        </is>
      </c>
      <c r="C205" s="48" t="n">
        <v>100</v>
      </c>
      <c r="D205" s="49" t="inlineStr">
        <is>
          <t>Diseñador</t>
        </is>
      </c>
      <c r="E205" s="50" t="n">
        <v>35</v>
      </c>
      <c r="F205" s="51">
        <f>E205*$B$5*(1+$B$6)</f>
        <v>45500</v>
      </c>
      <c r="G205" s="51">
        <f>F205*$B$7</f>
        <v>113750</v>
      </c>
      <c r="H205" s="51">
        <f>G205-F205</f>
        <v>68250</v>
      </c>
      <c r="I205" s="52">
        <f>H205/G205</f>
        <v>0.6</v>
      </c>
      <c r="J205" s="53" t="n"/>
      <c r="K205" s="54" t="n"/>
    </row>
    <row r="206">
      <c r="A206" s="39" t="inlineStr">
        <is>
          <t>Azzaro</t>
        </is>
      </c>
      <c r="B206" s="47" t="inlineStr">
        <is>
          <t>AZZARO CHROME EDT 100ML</t>
        </is>
      </c>
      <c r="C206" s="48" t="n">
        <v>100</v>
      </c>
      <c r="D206" s="49" t="inlineStr">
        <is>
          <t>Diseñador</t>
        </is>
      </c>
      <c r="E206" s="50" t="n">
        <v>36</v>
      </c>
      <c r="F206" s="51">
        <f>E206*$B$5*(1+$B$6)</f>
        <v>46800</v>
      </c>
      <c r="G206" s="51">
        <f>F206*$B$7</f>
        <v>117000</v>
      </c>
      <c r="H206" s="51">
        <f>G206-F206</f>
        <v>70200</v>
      </c>
      <c r="I206" s="52">
        <f>H206/G206</f>
        <v>0.6</v>
      </c>
      <c r="J206" s="53" t="n"/>
      <c r="K206" s="54" t="n"/>
    </row>
    <row r="207">
      <c r="A207" s="39" t="inlineStr">
        <is>
          <t>Azzaro</t>
        </is>
      </c>
      <c r="B207" s="47" t="inlineStr">
        <is>
          <t>AZZARO CHROME EDT 200ML</t>
        </is>
      </c>
      <c r="C207" s="48" t="n">
        <v>200</v>
      </c>
      <c r="D207" s="49" t="inlineStr">
        <is>
          <t>Diseñador</t>
        </is>
      </c>
      <c r="E207" s="50" t="n">
        <v>47</v>
      </c>
      <c r="F207" s="51">
        <f>E207*$B$5*(1+$B$6)</f>
        <v>61100</v>
      </c>
      <c r="G207" s="51">
        <f>F207*$B$7</f>
        <v>152750</v>
      </c>
      <c r="H207" s="51">
        <f>G207-F207</f>
        <v>91650</v>
      </c>
      <c r="I207" s="52">
        <f>H207/G207</f>
        <v>0.6</v>
      </c>
      <c r="J207" s="53" t="n"/>
      <c r="K207" s="54" t="n"/>
    </row>
    <row r="208">
      <c r="A208" s="39" t="inlineStr">
        <is>
          <t>Azzaro</t>
        </is>
      </c>
      <c r="B208" s="47" t="inlineStr">
        <is>
          <t>AZZARO CHROME EXTREME EDP 100ML MASC</t>
        </is>
      </c>
      <c r="C208" s="48" t="n">
        <v>100</v>
      </c>
      <c r="D208" s="49" t="inlineStr">
        <is>
          <t>Diseñador</t>
        </is>
      </c>
      <c r="E208" s="50" t="n">
        <v>52</v>
      </c>
      <c r="F208" s="51">
        <f>E208*$B$5*(1+$B$6)</f>
        <v>67600</v>
      </c>
      <c r="G208" s="51">
        <f>F208*$B$7</f>
        <v>169000</v>
      </c>
      <c r="H208" s="51">
        <f>G208-F208</f>
        <v>101400</v>
      </c>
      <c r="I208" s="52">
        <f>H208/G208</f>
        <v>0.6</v>
      </c>
      <c r="J208" s="53" t="n"/>
      <c r="K208" s="54" t="n"/>
    </row>
    <row r="209">
      <c r="A209" s="39" t="inlineStr">
        <is>
          <t>Azzaro</t>
        </is>
      </c>
      <c r="B209" s="47" t="inlineStr">
        <is>
          <t>AZZARO CHROME LEGEND EDT 125ML</t>
        </is>
      </c>
      <c r="C209" s="48" t="n">
        <v>125</v>
      </c>
      <c r="D209" s="49" t="inlineStr">
        <is>
          <t>Diseñador</t>
        </is>
      </c>
      <c r="E209" s="50" t="n">
        <v>27</v>
      </c>
      <c r="F209" s="51">
        <f>E209*$B$5*(1+$B$6)</f>
        <v>35100</v>
      </c>
      <c r="G209" s="51">
        <f>F209*$B$7</f>
        <v>87750</v>
      </c>
      <c r="H209" s="51">
        <f>G209-F209</f>
        <v>52650</v>
      </c>
      <c r="I209" s="52">
        <f>H209/G209</f>
        <v>0.6</v>
      </c>
      <c r="J209" s="53" t="n"/>
      <c r="K209" s="54" t="n"/>
    </row>
    <row r="210">
      <c r="A210" s="39" t="inlineStr">
        <is>
          <t>Azzaro</t>
        </is>
      </c>
      <c r="B210" s="47" t="inlineStr">
        <is>
          <t>AZZARO CHROME PARFUM 100ML</t>
        </is>
      </c>
      <c r="C210" s="48" t="n">
        <v>100</v>
      </c>
      <c r="D210" s="49" t="inlineStr">
        <is>
          <t>Diseñador</t>
        </is>
      </c>
      <c r="E210" s="50" t="n">
        <v>45</v>
      </c>
      <c r="F210" s="51">
        <f>E210*$B$5*(1+$B$6)</f>
        <v>58500</v>
      </c>
      <c r="G210" s="51">
        <f>F210*$B$7</f>
        <v>146250</v>
      </c>
      <c r="H210" s="51">
        <f>G210-F210</f>
        <v>87750</v>
      </c>
      <c r="I210" s="52">
        <f>H210/G210</f>
        <v>0.6</v>
      </c>
      <c r="J210" s="53" t="n"/>
      <c r="K210" s="54" t="n"/>
    </row>
    <row r="211">
      <c r="A211" s="39" t="inlineStr">
        <is>
          <t>Azzaro</t>
        </is>
      </c>
      <c r="B211" s="47" t="inlineStr">
        <is>
          <t>AZZARO POUR ELLE EDP 100ML FEM</t>
        </is>
      </c>
      <c r="C211" s="48" t="n">
        <v>100</v>
      </c>
      <c r="D211" s="49" t="inlineStr">
        <is>
          <t>Diseñador</t>
        </is>
      </c>
      <c r="E211" s="50" t="n">
        <v>30</v>
      </c>
      <c r="F211" s="51">
        <f>E211*$B$5*(1+$B$6)</f>
        <v>39000</v>
      </c>
      <c r="G211" s="51">
        <f>F211*$B$7</f>
        <v>97500</v>
      </c>
      <c r="H211" s="51">
        <f>G211-F211</f>
        <v>58500</v>
      </c>
      <c r="I211" s="52">
        <f>H211/G211</f>
        <v>0.6</v>
      </c>
      <c r="J211" s="53" t="n"/>
      <c r="K211" s="54" t="n"/>
    </row>
    <row r="212">
      <c r="A212" s="39" t="inlineStr">
        <is>
          <t>Azzaro</t>
        </is>
      </c>
      <c r="B212" s="47" t="inlineStr">
        <is>
          <t>AZZARO POUR HOMME EDT 100ML MASC</t>
        </is>
      </c>
      <c r="C212" s="48" t="n">
        <v>100</v>
      </c>
      <c r="D212" s="49" t="inlineStr">
        <is>
          <t>Diseñador</t>
        </is>
      </c>
      <c r="E212" s="50" t="n">
        <v>28</v>
      </c>
      <c r="F212" s="51">
        <f>E212*$B$5*(1+$B$6)</f>
        <v>36400</v>
      </c>
      <c r="G212" s="51">
        <f>F212*$B$7</f>
        <v>91000</v>
      </c>
      <c r="H212" s="51">
        <f>G212-F212</f>
        <v>54600</v>
      </c>
      <c r="I212" s="52">
        <f>H212/G212</f>
        <v>0.6</v>
      </c>
      <c r="J212" s="53" t="n"/>
      <c r="K212" s="54" t="n"/>
    </row>
    <row r="213">
      <c r="A213" s="39" t="inlineStr">
        <is>
          <t>Azzaro</t>
        </is>
      </c>
      <c r="B213" s="47" t="inlineStr">
        <is>
          <t>AZZARO POUR HOMME EDT 200ML MASC</t>
        </is>
      </c>
      <c r="C213" s="48" t="n">
        <v>200</v>
      </c>
      <c r="D213" s="49" t="inlineStr">
        <is>
          <t>Diseñador</t>
        </is>
      </c>
      <c r="E213" s="50" t="n">
        <v>37.5</v>
      </c>
      <c r="F213" s="51">
        <f>E213*$B$5*(1+$B$6)</f>
        <v>48750</v>
      </c>
      <c r="G213" s="51">
        <f>F213*$B$7</f>
        <v>121875</v>
      </c>
      <c r="H213" s="51">
        <f>G213-F213</f>
        <v>73125</v>
      </c>
      <c r="I213" s="52">
        <f>H213/G213</f>
        <v>0.6</v>
      </c>
      <c r="J213" s="53" t="n"/>
      <c r="K213" s="54" t="n"/>
    </row>
    <row r="214">
      <c r="A214" s="39" t="inlineStr">
        <is>
          <t>Azzaro</t>
        </is>
      </c>
      <c r="B214" s="47" t="inlineStr">
        <is>
          <t>AZZARO POUR HOMME EDT 50ML MASC</t>
        </is>
      </c>
      <c r="C214" s="48" t="n">
        <v>50</v>
      </c>
      <c r="D214" s="49" t="inlineStr">
        <is>
          <t>Diseñador</t>
        </is>
      </c>
      <c r="E214" s="50" t="n">
        <v>17.5</v>
      </c>
      <c r="F214" s="51">
        <f>E214*$B$5*(1+$B$6)</f>
        <v>22750</v>
      </c>
      <c r="G214" s="51">
        <f>F214*$B$7</f>
        <v>56875</v>
      </c>
      <c r="H214" s="51">
        <f>G214-F214</f>
        <v>34125</v>
      </c>
      <c r="I214" s="52">
        <f>H214/G214</f>
        <v>0.6</v>
      </c>
      <c r="J214" s="53" t="n"/>
      <c r="K214" s="54" t="n"/>
    </row>
    <row r="215">
      <c r="A215" s="39" t="inlineStr">
        <is>
          <t>Azzaro</t>
        </is>
      </c>
      <c r="B215" s="47" t="inlineStr">
        <is>
          <t>AZZARO SPORT EDT 100ML MASC</t>
        </is>
      </c>
      <c r="C215" s="48" t="n">
        <v>100</v>
      </c>
      <c r="D215" s="49" t="inlineStr">
        <is>
          <t>Diseñador</t>
        </is>
      </c>
      <c r="E215" s="50" t="n">
        <v>24</v>
      </c>
      <c r="F215" s="51">
        <f>E215*$B$5*(1+$B$6)</f>
        <v>31200</v>
      </c>
      <c r="G215" s="51">
        <f>F215*$B$7</f>
        <v>78000</v>
      </c>
      <c r="H215" s="51">
        <f>G215-F215</f>
        <v>46800</v>
      </c>
      <c r="I215" s="52">
        <f>H215/G215</f>
        <v>0.6</v>
      </c>
      <c r="J215" s="53" t="n"/>
      <c r="K215" s="54" t="n"/>
    </row>
    <row r="216">
      <c r="A216" s="39" t="inlineStr">
        <is>
          <t>Azzaro</t>
        </is>
      </c>
      <c r="B216" s="47" t="inlineStr">
        <is>
          <t>AZZARO THE MOST WANTED EDP INTENSE 100ML MASCULINO</t>
        </is>
      </c>
      <c r="C216" s="48" t="n">
        <v>100</v>
      </c>
      <c r="D216" s="49" t="inlineStr">
        <is>
          <t>Diseñador</t>
        </is>
      </c>
      <c r="E216" s="50" t="n">
        <v>62</v>
      </c>
      <c r="F216" s="51">
        <f>E216*$B$5*(1+$B$6)</f>
        <v>80600</v>
      </c>
      <c r="G216" s="51">
        <f>F216*$B$7</f>
        <v>201500</v>
      </c>
      <c r="H216" s="51">
        <f>G216-F216</f>
        <v>120900</v>
      </c>
      <c r="I216" s="52">
        <f>H216/G216</f>
        <v>0.6</v>
      </c>
      <c r="J216" s="53" t="n"/>
      <c r="K216" s="54" t="n"/>
    </row>
    <row r="217">
      <c r="A217" s="39" t="inlineStr">
        <is>
          <t>Azzaro</t>
        </is>
      </c>
      <c r="B217" s="47" t="inlineStr">
        <is>
          <t>AZZARO THE MOST WANTED EDT INTENSE 100ML MASCULINO</t>
        </is>
      </c>
      <c r="C217" s="48" t="n">
        <v>100</v>
      </c>
      <c r="D217" s="49" t="inlineStr">
        <is>
          <t>Diseñador</t>
        </is>
      </c>
      <c r="E217" s="50" t="n">
        <v>59</v>
      </c>
      <c r="F217" s="51">
        <f>E217*$B$5*(1+$B$6)</f>
        <v>76700</v>
      </c>
      <c r="G217" s="51">
        <f>F217*$B$7</f>
        <v>191750</v>
      </c>
      <c r="H217" s="51">
        <f>G217-F217</f>
        <v>115050</v>
      </c>
      <c r="I217" s="52">
        <f>H217/G217</f>
        <v>0.6</v>
      </c>
      <c r="J217" s="53" t="n"/>
      <c r="K217" s="54" t="n"/>
    </row>
    <row r="218">
      <c r="A218" s="39" t="inlineStr">
        <is>
          <t>Azzaro</t>
        </is>
      </c>
      <c r="B218" s="47" t="inlineStr">
        <is>
          <t>AZZARO THE MOST WANTED PARFUM 100ML MASCULINO</t>
        </is>
      </c>
      <c r="C218" s="48" t="n">
        <v>100</v>
      </c>
      <c r="D218" s="49" t="inlineStr">
        <is>
          <t>Diseñador</t>
        </is>
      </c>
      <c r="E218" s="50" t="n">
        <v>65.5</v>
      </c>
      <c r="F218" s="51">
        <f>E218*$B$5*(1+$B$6)</f>
        <v>85150</v>
      </c>
      <c r="G218" s="51">
        <f>F218*$B$7</f>
        <v>212875</v>
      </c>
      <c r="H218" s="51">
        <f>G218-F218</f>
        <v>127725</v>
      </c>
      <c r="I218" s="52">
        <f>H218/G218</f>
        <v>0.6</v>
      </c>
      <c r="J218" s="53" t="n"/>
      <c r="K218" s="54" t="n"/>
    </row>
    <row r="219">
      <c r="A219" s="39" t="inlineStr">
        <is>
          <t>Azzaro</t>
        </is>
      </c>
      <c r="B219" s="47" t="inlineStr">
        <is>
          <t>AZZARO WANTED BY NIGHT EDP 100ML</t>
        </is>
      </c>
      <c r="C219" s="48" t="n">
        <v>100</v>
      </c>
      <c r="D219" s="49" t="inlineStr">
        <is>
          <t>Diseñador</t>
        </is>
      </c>
      <c r="E219" s="50" t="n">
        <v>67.5</v>
      </c>
      <c r="F219" s="51">
        <f>E219*$B$5*(1+$B$6)</f>
        <v>87750</v>
      </c>
      <c r="G219" s="51">
        <f>F219*$B$7</f>
        <v>219375</v>
      </c>
      <c r="H219" s="51">
        <f>G219-F219</f>
        <v>131625</v>
      </c>
      <c r="I219" s="52">
        <f>H219/G219</f>
        <v>0.6</v>
      </c>
      <c r="J219" s="53" t="n"/>
      <c r="K219" s="54" t="n"/>
    </row>
    <row r="220">
      <c r="A220" s="39" t="inlineStr">
        <is>
          <t>Azzaro</t>
        </is>
      </c>
      <c r="B220" s="47" t="inlineStr">
        <is>
          <t>AZZARO WANTED EDP 100ML MASC</t>
        </is>
      </c>
      <c r="C220" s="48" t="n">
        <v>100</v>
      </c>
      <c r="D220" s="49" t="inlineStr">
        <is>
          <t>Diseñador</t>
        </is>
      </c>
      <c r="E220" s="50" t="n">
        <v>53</v>
      </c>
      <c r="F220" s="51">
        <f>E220*$B$5*(1+$B$6)</f>
        <v>68900</v>
      </c>
      <c r="G220" s="51">
        <f>F220*$B$7</f>
        <v>172250</v>
      </c>
      <c r="H220" s="51">
        <f>G220-F220</f>
        <v>103350</v>
      </c>
      <c r="I220" s="52">
        <f>H220/G220</f>
        <v>0.6</v>
      </c>
      <c r="J220" s="53" t="n"/>
      <c r="K220" s="54" t="n"/>
    </row>
    <row r="221">
      <c r="A221" s="39" t="inlineStr">
        <is>
          <t>Azzaro</t>
        </is>
      </c>
      <c r="B221" s="47" t="inlineStr">
        <is>
          <t>AZZARO WANTED EDP 50ML MASC</t>
        </is>
      </c>
      <c r="C221" s="48" t="n">
        <v>50</v>
      </c>
      <c r="D221" s="49" t="inlineStr">
        <is>
          <t>Diseñador</t>
        </is>
      </c>
      <c r="E221" s="50" t="n">
        <v>43</v>
      </c>
      <c r="F221" s="51">
        <f>E221*$B$5*(1+$B$6)</f>
        <v>55900</v>
      </c>
      <c r="G221" s="51">
        <f>F221*$B$7</f>
        <v>139750</v>
      </c>
      <c r="H221" s="51">
        <f>G221-F221</f>
        <v>83850</v>
      </c>
      <c r="I221" s="52">
        <f>H221/G221</f>
        <v>0.6</v>
      </c>
      <c r="J221" s="53" t="n"/>
      <c r="K221" s="54" t="n"/>
    </row>
    <row r="222">
      <c r="A222" s="39" t="inlineStr">
        <is>
          <t>Azzaro</t>
        </is>
      </c>
      <c r="B222" s="47" t="inlineStr">
        <is>
          <t>AZZARO WANTED EDT 100ML MASC</t>
        </is>
      </c>
      <c r="C222" s="48" t="n">
        <v>100</v>
      </c>
      <c r="D222" s="49" t="inlineStr">
        <is>
          <t>Diseñador</t>
        </is>
      </c>
      <c r="E222" s="50" t="n">
        <v>41</v>
      </c>
      <c r="F222" s="51">
        <f>E222*$B$5*(1+$B$6)</f>
        <v>53300</v>
      </c>
      <c r="G222" s="51">
        <f>F222*$B$7</f>
        <v>133250</v>
      </c>
      <c r="H222" s="51">
        <f>G222-F222</f>
        <v>79950</v>
      </c>
      <c r="I222" s="52">
        <f>H222/G222</f>
        <v>0.6</v>
      </c>
      <c r="J222" s="53" t="n"/>
      <c r="K222" s="54" t="n"/>
    </row>
    <row r="223">
      <c r="A223" s="39" t="inlineStr">
        <is>
          <t>Azzaro</t>
        </is>
      </c>
      <c r="B223" s="47" t="inlineStr">
        <is>
          <t>AZZARO WANTED FOREVER ELIXIR PARFUM 100ML</t>
        </is>
      </c>
      <c r="C223" s="48" t="n">
        <v>100</v>
      </c>
      <c r="D223" s="49" t="inlineStr">
        <is>
          <t>Diseñador</t>
        </is>
      </c>
      <c r="E223" s="50" t="n">
        <v>88</v>
      </c>
      <c r="F223" s="51">
        <f>E223*$B$5*(1+$B$6)</f>
        <v>114400</v>
      </c>
      <c r="G223" s="51">
        <f>F223*$B$7</f>
        <v>286000</v>
      </c>
      <c r="H223" s="51">
        <f>G223-F223</f>
        <v>171600</v>
      </c>
      <c r="I223" s="52">
        <f>H223/G223</f>
        <v>0.6</v>
      </c>
      <c r="J223" s="53" t="n"/>
      <c r="K223" s="54" t="n"/>
    </row>
    <row r="224">
      <c r="A224" s="39" t="inlineStr">
        <is>
          <t>Azzaro</t>
        </is>
      </c>
      <c r="B224" s="47" t="inlineStr">
        <is>
          <t>AZZARO WANTED GIRL TONIC EDT 80ML FEM</t>
        </is>
      </c>
      <c r="C224" s="48" t="n">
        <v>80</v>
      </c>
      <c r="D224" s="49" t="inlineStr">
        <is>
          <t>Diseñador</t>
        </is>
      </c>
      <c r="E224" s="50" t="n">
        <v>34</v>
      </c>
      <c r="F224" s="51">
        <f>E224*$B$5*(1+$B$6)</f>
        <v>44200</v>
      </c>
      <c r="G224" s="51">
        <f>F224*$B$7</f>
        <v>110500</v>
      </c>
      <c r="H224" s="51">
        <f>G224-F224</f>
        <v>66300</v>
      </c>
      <c r="I224" s="52">
        <f>H224/G224</f>
        <v>0.6</v>
      </c>
      <c r="J224" s="53" t="n"/>
      <c r="K224" s="54" t="n"/>
    </row>
    <row r="225">
      <c r="A225" s="39" t="inlineStr">
        <is>
          <t>Azzaro</t>
        </is>
      </c>
      <c r="B225" s="47" t="inlineStr">
        <is>
          <t>TESTER AZZARO WANTED EDP 100ML MASC</t>
        </is>
      </c>
      <c r="C225" s="48" t="n">
        <v>100</v>
      </c>
      <c r="D225" s="49" t="inlineStr">
        <is>
          <t>Tester</t>
        </is>
      </c>
      <c r="E225" s="50" t="n">
        <v>48</v>
      </c>
      <c r="F225" s="51">
        <f>E225*$B$5*(1+$B$6)</f>
        <v>62400</v>
      </c>
      <c r="G225" s="51">
        <f>F225*$B$7</f>
        <v>156000</v>
      </c>
      <c r="H225" s="51">
        <f>G225-F225</f>
        <v>93600</v>
      </c>
      <c r="I225" s="52">
        <f>H225/G225</f>
        <v>0.6</v>
      </c>
      <c r="J225" s="53" t="n"/>
      <c r="K225" s="54" t="n"/>
    </row>
    <row r="226">
      <c r="A226" s="39" t="inlineStr">
        <is>
          <t>Azzaro</t>
        </is>
      </c>
      <c r="B226" s="47" t="inlineStr">
        <is>
          <t>TESTER AZZARO WANTED FOREVER ELIXIR PARFUM 100ML</t>
        </is>
      </c>
      <c r="C226" s="48" t="n">
        <v>100</v>
      </c>
      <c r="D226" s="49" t="inlineStr">
        <is>
          <t>Tester</t>
        </is>
      </c>
      <c r="E226" s="50" t="n">
        <v>80</v>
      </c>
      <c r="F226" s="51">
        <f>E226*$B$5*(1+$B$6)</f>
        <v>104000</v>
      </c>
      <c r="G226" s="51">
        <f>F226*$B$7</f>
        <v>260000</v>
      </c>
      <c r="H226" s="51">
        <f>G226-F226</f>
        <v>156000</v>
      </c>
      <c r="I226" s="52">
        <f>H226/G226</f>
        <v>0.6</v>
      </c>
      <c r="J226" s="53" t="n"/>
      <c r="K226" s="54" t="n"/>
    </row>
    <row r="227">
      <c r="A227" s="39" t="inlineStr">
        <is>
          <t>Bharara</t>
        </is>
      </c>
      <c r="B227" s="47" t="inlineStr">
        <is>
          <t>BHARARA BLEU EDP 100ML</t>
        </is>
      </c>
      <c r="C227" s="48" t="n">
        <v>100</v>
      </c>
      <c r="D227" s="49" t="inlineStr">
        <is>
          <t>Árabe</t>
        </is>
      </c>
      <c r="E227" s="50" t="n">
        <v>34.5</v>
      </c>
      <c r="F227" s="51">
        <f>E227*$B$5*(1+$B$6)</f>
        <v>44850</v>
      </c>
      <c r="G227" s="51">
        <f>F227*$B$7</f>
        <v>112125</v>
      </c>
      <c r="H227" s="51">
        <f>G227-F227</f>
        <v>67275</v>
      </c>
      <c r="I227" s="52">
        <f>H227/G227</f>
        <v>0.6</v>
      </c>
      <c r="J227" s="53" t="n"/>
      <c r="K227" s="54" t="n"/>
    </row>
    <row r="228">
      <c r="A228" s="39" t="inlineStr">
        <is>
          <t>Bharara</t>
        </is>
      </c>
      <c r="B228" s="47" t="inlineStr">
        <is>
          <t>BHARARA DOUBLE BLEU EDP 100ML</t>
        </is>
      </c>
      <c r="C228" s="48" t="n">
        <v>100</v>
      </c>
      <c r="D228" s="49" t="inlineStr">
        <is>
          <t>Árabe</t>
        </is>
      </c>
      <c r="E228" s="50" t="n">
        <v>34.5</v>
      </c>
      <c r="F228" s="51">
        <f>E228*$B$5*(1+$B$6)</f>
        <v>44850</v>
      </c>
      <c r="G228" s="51">
        <f>F228*$B$7</f>
        <v>112125</v>
      </c>
      <c r="H228" s="51">
        <f>G228-F228</f>
        <v>67275</v>
      </c>
      <c r="I228" s="52">
        <f>H228/G228</f>
        <v>0.6</v>
      </c>
      <c r="J228" s="53" t="n"/>
      <c r="K228" s="54" t="n"/>
    </row>
    <row r="229">
      <c r="A229" s="39" t="inlineStr">
        <is>
          <t>Bharara</t>
        </is>
      </c>
      <c r="B229" s="47" t="inlineStr">
        <is>
          <t>BHARARA GODDESS EDP 100ML FEMININO</t>
        </is>
      </c>
      <c r="C229" s="48" t="n">
        <v>100</v>
      </c>
      <c r="D229" s="49" t="inlineStr">
        <is>
          <t>Árabe</t>
        </is>
      </c>
      <c r="E229" s="50" t="n">
        <v>36</v>
      </c>
      <c r="F229" s="51">
        <f>E229*$B$5*(1+$B$6)</f>
        <v>46800</v>
      </c>
      <c r="G229" s="51">
        <f>F229*$B$7</f>
        <v>117000</v>
      </c>
      <c r="H229" s="51">
        <f>G229-F229</f>
        <v>70200</v>
      </c>
      <c r="I229" s="52">
        <f>H229/G229</f>
        <v>0.6</v>
      </c>
      <c r="J229" s="53" t="n"/>
      <c r="K229" s="54" t="n"/>
    </row>
    <row r="230">
      <c r="A230" s="39" t="inlineStr">
        <is>
          <t>Bharara</t>
        </is>
      </c>
      <c r="B230" s="47" t="inlineStr">
        <is>
          <t>BHARARA KING PARFUM 100ML MASC</t>
        </is>
      </c>
      <c r="C230" s="48" t="n">
        <v>100</v>
      </c>
      <c r="D230" s="49" t="inlineStr">
        <is>
          <t>Árabe</t>
        </is>
      </c>
      <c r="E230" s="50" t="n">
        <v>52</v>
      </c>
      <c r="F230" s="51">
        <f>E230*$B$5*(1+$B$6)</f>
        <v>67600</v>
      </c>
      <c r="G230" s="51">
        <f>F230*$B$7</f>
        <v>169000</v>
      </c>
      <c r="H230" s="51">
        <f>G230-F230</f>
        <v>101400</v>
      </c>
      <c r="I230" s="52">
        <f>H230/G230</f>
        <v>0.6</v>
      </c>
      <c r="J230" s="53" t="n"/>
      <c r="K230" s="54" t="n"/>
    </row>
    <row r="231">
      <c r="A231" s="39" t="inlineStr">
        <is>
          <t>Bharara</t>
        </is>
      </c>
      <c r="B231" s="47" t="inlineStr">
        <is>
          <t>BHARARA NICHE FEMME EDP 100ML</t>
        </is>
      </c>
      <c r="C231" s="48" t="n">
        <v>100</v>
      </c>
      <c r="D231" s="49" t="inlineStr">
        <is>
          <t>Árabe</t>
        </is>
      </c>
      <c r="E231" s="50" t="n">
        <v>35.5</v>
      </c>
      <c r="F231" s="51">
        <f>E231*$B$5*(1+$B$6)</f>
        <v>46150</v>
      </c>
      <c r="G231" s="51">
        <f>F231*$B$7</f>
        <v>115375</v>
      </c>
      <c r="H231" s="51">
        <f>G231-F231</f>
        <v>69225</v>
      </c>
      <c r="I231" s="52">
        <f>H231/G231</f>
        <v>0.6</v>
      </c>
      <c r="J231" s="53" t="n"/>
      <c r="K231" s="54" t="n"/>
    </row>
    <row r="232">
      <c r="A232" s="39" t="inlineStr">
        <is>
          <t>Bharara</t>
        </is>
      </c>
      <c r="B232" s="47" t="inlineStr">
        <is>
          <t>BHARARA NICHE PARFUM 100ML</t>
        </is>
      </c>
      <c r="C232" s="48" t="n">
        <v>100</v>
      </c>
      <c r="D232" s="49" t="inlineStr">
        <is>
          <t>Árabe</t>
        </is>
      </c>
      <c r="E232" s="50" t="n">
        <v>34</v>
      </c>
      <c r="F232" s="51">
        <f>E232*$B$5*(1+$B$6)</f>
        <v>44200</v>
      </c>
      <c r="G232" s="51">
        <f>F232*$B$7</f>
        <v>110500</v>
      </c>
      <c r="H232" s="51">
        <f>G232-F232</f>
        <v>66300</v>
      </c>
      <c r="I232" s="52">
        <f>H232/G232</f>
        <v>0.6</v>
      </c>
      <c r="J232" s="53" t="n"/>
      <c r="K232" s="54" t="n"/>
    </row>
    <row r="233">
      <c r="A233" s="39" t="inlineStr">
        <is>
          <t>Bharara</t>
        </is>
      </c>
      <c r="B233" s="47" t="inlineStr">
        <is>
          <t>BHARARA PEACE PARFUM 100ML MASC</t>
        </is>
      </c>
      <c r="C233" s="48" t="n">
        <v>100</v>
      </c>
      <c r="D233" s="49" t="inlineStr">
        <is>
          <t>Árabe</t>
        </is>
      </c>
      <c r="E233" s="50" t="n">
        <v>54.75</v>
      </c>
      <c r="F233" s="51">
        <f>E233*$B$5*(1+$B$6)</f>
        <v>71175</v>
      </c>
      <c r="G233" s="51">
        <f>F233*$B$7</f>
        <v>177937.5</v>
      </c>
      <c r="H233" s="51">
        <f>G233-F233</f>
        <v>106762.5</v>
      </c>
      <c r="I233" s="52">
        <f>H233/G233</f>
        <v>0.6</v>
      </c>
      <c r="J233" s="53" t="n"/>
      <c r="K233" s="54" t="n"/>
    </row>
    <row r="234">
      <c r="A234" s="39" t="inlineStr">
        <is>
          <t>Bharara</t>
        </is>
      </c>
      <c r="B234" s="47" t="inlineStr">
        <is>
          <t>BHARARA PHARAOH RAMESSES I 100ML</t>
        </is>
      </c>
      <c r="C234" s="48" t="n">
        <v>100</v>
      </c>
      <c r="D234" s="49" t="inlineStr">
        <is>
          <t>Árabe</t>
        </is>
      </c>
      <c r="E234" s="50" t="n">
        <v>64</v>
      </c>
      <c r="F234" s="51">
        <f>E234*$B$5*(1+$B$6)</f>
        <v>83200</v>
      </c>
      <c r="G234" s="51">
        <f>F234*$B$7</f>
        <v>208000</v>
      </c>
      <c r="H234" s="51">
        <f>G234-F234</f>
        <v>124800</v>
      </c>
      <c r="I234" s="52">
        <f>H234/G234</f>
        <v>0.6</v>
      </c>
      <c r="J234" s="53" t="n"/>
      <c r="K234" s="54" t="n"/>
    </row>
    <row r="235">
      <c r="A235" s="39" t="inlineStr">
        <is>
          <t>Bharara</t>
        </is>
      </c>
      <c r="B235" s="47" t="inlineStr">
        <is>
          <t>BHARARA PHARAOH RAMESSES II 100ML</t>
        </is>
      </c>
      <c r="C235" s="48" t="n">
        <v>100</v>
      </c>
      <c r="D235" s="49" t="inlineStr">
        <is>
          <t>Árabe</t>
        </is>
      </c>
      <c r="E235" s="50" t="n">
        <v>66</v>
      </c>
      <c r="F235" s="51">
        <f>E235*$B$5*(1+$B$6)</f>
        <v>85800</v>
      </c>
      <c r="G235" s="51">
        <f>F235*$B$7</f>
        <v>214500</v>
      </c>
      <c r="H235" s="51">
        <f>G235-F235</f>
        <v>128700</v>
      </c>
      <c r="I235" s="52">
        <f>H235/G235</f>
        <v>0.6</v>
      </c>
      <c r="J235" s="53" t="n"/>
      <c r="K235" s="54" t="n"/>
    </row>
    <row r="236">
      <c r="A236" s="39" t="inlineStr">
        <is>
          <t>Bharara</t>
        </is>
      </c>
      <c r="B236" s="47" t="inlineStr">
        <is>
          <t>BHARARA QUEEN EDP 100ML FEM</t>
        </is>
      </c>
      <c r="C236" s="48" t="n">
        <v>100</v>
      </c>
      <c r="D236" s="49" t="inlineStr">
        <is>
          <t>Árabe</t>
        </is>
      </c>
      <c r="E236" s="50" t="n">
        <v>36</v>
      </c>
      <c r="F236" s="51">
        <f>E236*$B$5*(1+$B$6)</f>
        <v>46800</v>
      </c>
      <c r="G236" s="51">
        <f>F236*$B$7</f>
        <v>117000</v>
      </c>
      <c r="H236" s="51">
        <f>G236-F236</f>
        <v>70200</v>
      </c>
      <c r="I236" s="52">
        <f>H236/G236</f>
        <v>0.6</v>
      </c>
      <c r="J236" s="53" t="n"/>
      <c r="K236" s="54" t="n"/>
    </row>
    <row r="237">
      <c r="A237" s="39" t="inlineStr">
        <is>
          <t>Bharara</t>
        </is>
      </c>
      <c r="B237" s="47" t="inlineStr">
        <is>
          <t>BHARARA ROSE EDP 100ML</t>
        </is>
      </c>
      <c r="C237" s="48" t="n">
        <v>100</v>
      </c>
      <c r="D237" s="49" t="inlineStr">
        <is>
          <t>Árabe</t>
        </is>
      </c>
      <c r="E237" s="50" t="n">
        <v>36</v>
      </c>
      <c r="F237" s="51">
        <f>E237*$B$5*(1+$B$6)</f>
        <v>46800</v>
      </c>
      <c r="G237" s="51">
        <f>F237*$B$7</f>
        <v>117000</v>
      </c>
      <c r="H237" s="51">
        <f>G237-F237</f>
        <v>70200</v>
      </c>
      <c r="I237" s="52">
        <f>H237/G237</f>
        <v>0.6</v>
      </c>
      <c r="J237" s="53" t="n"/>
      <c r="K237" s="54" t="n"/>
    </row>
    <row r="238">
      <c r="A238" s="39" t="inlineStr">
        <is>
          <t>Bharara</t>
        </is>
      </c>
      <c r="B238" s="47" t="inlineStr">
        <is>
          <t>BHARARA SCARLET EDP 100ML</t>
        </is>
      </c>
      <c r="C238" s="48" t="n">
        <v>100</v>
      </c>
      <c r="D238" s="49" t="inlineStr">
        <is>
          <t>Árabe</t>
        </is>
      </c>
      <c r="E238" s="50" t="n">
        <v>40</v>
      </c>
      <c r="F238" s="51">
        <f>E238*$B$5*(1+$B$6)</f>
        <v>52000</v>
      </c>
      <c r="G238" s="51">
        <f>F238*$B$7</f>
        <v>130000</v>
      </c>
      <c r="H238" s="51">
        <f>G238-F238</f>
        <v>78000</v>
      </c>
      <c r="I238" s="52">
        <f>H238/G238</f>
        <v>0.6</v>
      </c>
      <c r="J238" s="53" t="n"/>
      <c r="K238" s="54" t="n"/>
    </row>
    <row r="239">
      <c r="A239" s="39" t="inlineStr">
        <is>
          <t>Bharara</t>
        </is>
      </c>
      <c r="B239" s="47" t="inlineStr">
        <is>
          <t>BHARARA VIKING CAIRO EDP 100ML</t>
        </is>
      </c>
      <c r="C239" s="48" t="n">
        <v>100</v>
      </c>
      <c r="D239" s="49" t="inlineStr">
        <is>
          <t>Árabe</t>
        </is>
      </c>
      <c r="E239" s="50" t="n">
        <v>37</v>
      </c>
      <c r="F239" s="51">
        <f>E239*$B$5*(1+$B$6)</f>
        <v>48100</v>
      </c>
      <c r="G239" s="51">
        <f>F239*$B$7</f>
        <v>120250</v>
      </c>
      <c r="H239" s="51">
        <f>G239-F239</f>
        <v>72150</v>
      </c>
      <c r="I239" s="52">
        <f>H239/G239</f>
        <v>0.6</v>
      </c>
      <c r="J239" s="53" t="n"/>
      <c r="K239" s="54" t="n"/>
    </row>
    <row r="240">
      <c r="A240" s="39" t="inlineStr">
        <is>
          <t>Bharara</t>
        </is>
      </c>
      <c r="B240" s="47" t="inlineStr">
        <is>
          <t>BHARARA VIKING KASHMIR EDP 100ML</t>
        </is>
      </c>
      <c r="C240" s="48" t="n">
        <v>100</v>
      </c>
      <c r="D240" s="49" t="inlineStr">
        <is>
          <t>Árabe</t>
        </is>
      </c>
      <c r="E240" s="50" t="n">
        <v>37</v>
      </c>
      <c r="F240" s="51">
        <f>E240*$B$5*(1+$B$6)</f>
        <v>48100</v>
      </c>
      <c r="G240" s="51">
        <f>F240*$B$7</f>
        <v>120250</v>
      </c>
      <c r="H240" s="51">
        <f>G240-F240</f>
        <v>72150</v>
      </c>
      <c r="I240" s="52">
        <f>H240/G240</f>
        <v>0.6</v>
      </c>
      <c r="J240" s="53" t="n"/>
      <c r="K240" s="54" t="n"/>
    </row>
    <row r="241">
      <c r="A241" s="39" t="inlineStr">
        <is>
          <t>Bharara</t>
        </is>
      </c>
      <c r="B241" s="47" t="inlineStr">
        <is>
          <t>BHARARA VIKING RIO EDP 100ML</t>
        </is>
      </c>
      <c r="C241" s="48" t="n">
        <v>100</v>
      </c>
      <c r="D241" s="49" t="inlineStr">
        <is>
          <t>Árabe</t>
        </is>
      </c>
      <c r="E241" s="50" t="n">
        <v>36</v>
      </c>
      <c r="F241" s="51">
        <f>E241*$B$5*(1+$B$6)</f>
        <v>46800</v>
      </c>
      <c r="G241" s="51">
        <f>F241*$B$7</f>
        <v>117000</v>
      </c>
      <c r="H241" s="51">
        <f>G241-F241</f>
        <v>70200</v>
      </c>
      <c r="I241" s="52">
        <f>H241/G241</f>
        <v>0.6</v>
      </c>
      <c r="J241" s="53" t="n"/>
      <c r="K241" s="54" t="n"/>
    </row>
    <row r="242">
      <c r="A242" s="39" t="inlineStr">
        <is>
          <t>Billie Eilish</t>
        </is>
      </c>
      <c r="B242" s="47" t="inlineStr">
        <is>
          <t>BILLIE EILISH EDP 100ML</t>
        </is>
      </c>
      <c r="C242" s="48" t="n">
        <v>100</v>
      </c>
      <c r="D242" s="49" t="inlineStr">
        <is>
          <t>Diseñador</t>
        </is>
      </c>
      <c r="E242" s="50" t="n">
        <v>56</v>
      </c>
      <c r="F242" s="51">
        <f>E242*$B$5*(1+$B$6)</f>
        <v>72800</v>
      </c>
      <c r="G242" s="51">
        <f>F242*$B$7</f>
        <v>182000</v>
      </c>
      <c r="H242" s="51">
        <f>G242-F242</f>
        <v>109200</v>
      </c>
      <c r="I242" s="52">
        <f>H242/G242</f>
        <v>0.6</v>
      </c>
      <c r="J242" s="53" t="n"/>
      <c r="K242" s="54" t="n"/>
    </row>
    <row r="243">
      <c r="A243" s="39" t="inlineStr">
        <is>
          <t>Billie Eilish</t>
        </is>
      </c>
      <c r="B243" s="47" t="inlineStr">
        <is>
          <t>BILLIE EILISH YOUR TURN EDP 100ML</t>
        </is>
      </c>
      <c r="C243" s="48" t="n">
        <v>100</v>
      </c>
      <c r="D243" s="49" t="inlineStr">
        <is>
          <t>Diseñador</t>
        </is>
      </c>
      <c r="E243" s="50" t="n">
        <v>69</v>
      </c>
      <c r="F243" s="51">
        <f>E243*$B$5*(1+$B$6)</f>
        <v>89700</v>
      </c>
      <c r="G243" s="51">
        <f>F243*$B$7</f>
        <v>224250</v>
      </c>
      <c r="H243" s="51">
        <f>G243-F243</f>
        <v>134550</v>
      </c>
      <c r="I243" s="52">
        <f>H243/G243</f>
        <v>0.6</v>
      </c>
      <c r="J243" s="53" t="n"/>
      <c r="K243" s="54" t="n"/>
    </row>
    <row r="244">
      <c r="A244" s="39" t="inlineStr">
        <is>
          <t>Bois 1920</t>
        </is>
      </c>
      <c r="B244" s="47" t="inlineStr">
        <is>
          <t>BOIS 1920 ORO EDP 100ML</t>
        </is>
      </c>
      <c r="C244" s="48" t="n">
        <v>100</v>
      </c>
      <c r="D244" s="49" t="inlineStr">
        <is>
          <t>Nicho</t>
        </is>
      </c>
      <c r="E244" s="50" t="n">
        <v>85</v>
      </c>
      <c r="F244" s="51">
        <f>E244*$B$5*(1+$B$6)</f>
        <v>110500</v>
      </c>
      <c r="G244" s="51">
        <f>F244*$B$7</f>
        <v>276250</v>
      </c>
      <c r="H244" s="51">
        <f>G244-F244</f>
        <v>165750</v>
      </c>
      <c r="I244" s="52">
        <f>H244/G244</f>
        <v>0.6</v>
      </c>
      <c r="J244" s="53" t="n"/>
      <c r="K244" s="54" t="n"/>
    </row>
    <row r="245">
      <c r="A245" s="39" t="inlineStr">
        <is>
          <t>Bois 1920</t>
        </is>
      </c>
      <c r="B245" s="47" t="inlineStr">
        <is>
          <t>BOIS 1920 ORO ROSA EDP 100ML</t>
        </is>
      </c>
      <c r="C245" s="48" t="n">
        <v>100</v>
      </c>
      <c r="D245" s="49" t="inlineStr">
        <is>
          <t>Nicho</t>
        </is>
      </c>
      <c r="E245" s="50" t="n">
        <v>115</v>
      </c>
      <c r="F245" s="51">
        <f>E245*$B$5*(1+$B$6)</f>
        <v>149500</v>
      </c>
      <c r="G245" s="51">
        <f>F245*$B$7</f>
        <v>373750</v>
      </c>
      <c r="H245" s="51">
        <f>G245-F245</f>
        <v>224250</v>
      </c>
      <c r="I245" s="52">
        <f>H245/G245</f>
        <v>0.6</v>
      </c>
      <c r="J245" s="53" t="n"/>
      <c r="K245" s="54" t="n"/>
    </row>
    <row r="246">
      <c r="A246" s="39" t="inlineStr">
        <is>
          <t>Bond No. 9</t>
        </is>
      </c>
      <c r="B246" s="47" t="inlineStr">
        <is>
          <t>BOND NO 9 CENTRAL PARK WEST EDP 100ML</t>
        </is>
      </c>
      <c r="C246" s="48" t="n">
        <v>100</v>
      </c>
      <c r="D246" s="49" t="inlineStr">
        <is>
          <t>Nicho</t>
        </is>
      </c>
      <c r="E246" s="50" t="n">
        <v>190</v>
      </c>
      <c r="F246" s="51">
        <f>E246*$B$5*(1+$B$6)</f>
        <v>247000</v>
      </c>
      <c r="G246" s="51">
        <f>F246*$B$7</f>
        <v>617500</v>
      </c>
      <c r="H246" s="51">
        <f>G246-F246</f>
        <v>370500</v>
      </c>
      <c r="I246" s="52">
        <f>H246/G246</f>
        <v>0.6</v>
      </c>
      <c r="J246" s="53" t="n"/>
      <c r="K246" s="54" t="n"/>
    </row>
    <row r="247">
      <c r="A247" s="39" t="inlineStr">
        <is>
          <t>Bond No. 9</t>
        </is>
      </c>
      <c r="B247" s="47" t="inlineStr">
        <is>
          <t>BOND NO 9 CHELSEA FLOWERS EDP 100ML</t>
        </is>
      </c>
      <c r="C247" s="48" t="n">
        <v>100</v>
      </c>
      <c r="D247" s="49" t="inlineStr">
        <is>
          <t>Nicho</t>
        </is>
      </c>
      <c r="E247" s="50" t="n">
        <v>190</v>
      </c>
      <c r="F247" s="51">
        <f>E247*$B$5*(1+$B$6)</f>
        <v>247000</v>
      </c>
      <c r="G247" s="51">
        <f>F247*$B$7</f>
        <v>617500</v>
      </c>
      <c r="H247" s="51">
        <f>G247-F247</f>
        <v>370500</v>
      </c>
      <c r="I247" s="52">
        <f>H247/G247</f>
        <v>0.6</v>
      </c>
      <c r="J247" s="53" t="n"/>
      <c r="K247" s="54" t="n"/>
    </row>
    <row r="248">
      <c r="A248" s="39" t="inlineStr">
        <is>
          <t>Bond No. 9</t>
        </is>
      </c>
      <c r="B248" s="47" t="inlineStr">
        <is>
          <t>BOND NO 9 CHEZ BOND EDP 100ML</t>
        </is>
      </c>
      <c r="C248" s="48" t="n">
        <v>100</v>
      </c>
      <c r="D248" s="49" t="inlineStr">
        <is>
          <t>Nicho</t>
        </is>
      </c>
      <c r="E248" s="50" t="n">
        <v>190</v>
      </c>
      <c r="F248" s="51">
        <f>E248*$B$5*(1+$B$6)</f>
        <v>247000</v>
      </c>
      <c r="G248" s="51">
        <f>F248*$B$7</f>
        <v>617500</v>
      </c>
      <c r="H248" s="51">
        <f>G248-F248</f>
        <v>370500</v>
      </c>
      <c r="I248" s="52">
        <f>H248/G248</f>
        <v>0.6</v>
      </c>
      <c r="J248" s="53" t="n"/>
      <c r="K248" s="54" t="n"/>
    </row>
    <row r="249">
      <c r="A249" s="39" t="inlineStr">
        <is>
          <t>Bond No. 9</t>
        </is>
      </c>
      <c r="B249" s="47" t="inlineStr">
        <is>
          <t>BOND NO 9 FIDI EDP 100ML</t>
        </is>
      </c>
      <c r="C249" s="48" t="n">
        <v>100</v>
      </c>
      <c r="D249" s="49" t="inlineStr">
        <is>
          <t>Nicho</t>
        </is>
      </c>
      <c r="E249" s="50" t="n">
        <v>220</v>
      </c>
      <c r="F249" s="51">
        <f>E249*$B$5*(1+$B$6)</f>
        <v>286000</v>
      </c>
      <c r="G249" s="51">
        <f>F249*$B$7</f>
        <v>715000</v>
      </c>
      <c r="H249" s="51">
        <f>G249-F249</f>
        <v>429000</v>
      </c>
      <c r="I249" s="52">
        <f>H249/G249</f>
        <v>0.6</v>
      </c>
      <c r="J249" s="53" t="n"/>
      <c r="K249" s="54" t="n"/>
    </row>
    <row r="250">
      <c r="A250" s="39" t="inlineStr">
        <is>
          <t>Bond No. 9</t>
        </is>
      </c>
      <c r="B250" s="47" t="inlineStr">
        <is>
          <t>BOND NO 9 MADISON SQUARE PARK EDP 100ML</t>
        </is>
      </c>
      <c r="C250" s="48" t="n">
        <v>100</v>
      </c>
      <c r="D250" s="49" t="inlineStr">
        <is>
          <t>Nicho</t>
        </is>
      </c>
      <c r="E250" s="50" t="n">
        <v>200</v>
      </c>
      <c r="F250" s="51">
        <f>E250*$B$5*(1+$B$6)</f>
        <v>260000</v>
      </c>
      <c r="G250" s="51">
        <f>F250*$B$7</f>
        <v>650000</v>
      </c>
      <c r="H250" s="51">
        <f>G250-F250</f>
        <v>390000</v>
      </c>
      <c r="I250" s="52">
        <f>H250/G250</f>
        <v>0.6</v>
      </c>
      <c r="J250" s="53" t="n"/>
      <c r="K250" s="54" t="n"/>
    </row>
    <row r="251">
      <c r="A251" s="39" t="inlineStr">
        <is>
          <t>Bond No. 9</t>
        </is>
      </c>
      <c r="B251" s="47" t="inlineStr">
        <is>
          <t>BOND NO 9 NUITS DE NOHO EDP 100ML</t>
        </is>
      </c>
      <c r="C251" s="48" t="n">
        <v>100</v>
      </c>
      <c r="D251" s="49" t="inlineStr">
        <is>
          <t>Nicho</t>
        </is>
      </c>
      <c r="E251" s="50" t="n">
        <v>200</v>
      </c>
      <c r="F251" s="51">
        <f>E251*$B$5*(1+$B$6)</f>
        <v>260000</v>
      </c>
      <c r="G251" s="51">
        <f>F251*$B$7</f>
        <v>650000</v>
      </c>
      <c r="H251" s="51">
        <f>G251-F251</f>
        <v>390000</v>
      </c>
      <c r="I251" s="52">
        <f>H251/G251</f>
        <v>0.6</v>
      </c>
      <c r="J251" s="53" t="n"/>
      <c r="K251" s="54" t="n"/>
    </row>
    <row r="252">
      <c r="A252" s="39" t="inlineStr">
        <is>
          <t>Bond No. 9</t>
        </is>
      </c>
      <c r="B252" s="47" t="inlineStr">
        <is>
          <t>BOND NO 9 PARK AVENUE EDP 100ML</t>
        </is>
      </c>
      <c r="C252" s="48" t="n">
        <v>100</v>
      </c>
      <c r="D252" s="49" t="inlineStr">
        <is>
          <t>Nicho</t>
        </is>
      </c>
      <c r="E252" s="50" t="n">
        <v>200</v>
      </c>
      <c r="F252" s="51">
        <f>E252*$B$5*(1+$B$6)</f>
        <v>260000</v>
      </c>
      <c r="G252" s="51">
        <f>F252*$B$7</f>
        <v>650000</v>
      </c>
      <c r="H252" s="51">
        <f>G252-F252</f>
        <v>390000</v>
      </c>
      <c r="I252" s="52">
        <f>H252/G252</f>
        <v>0.6</v>
      </c>
      <c r="J252" s="53" t="n"/>
      <c r="K252" s="54" t="n"/>
    </row>
    <row r="253">
      <c r="A253" s="39" t="inlineStr">
        <is>
          <t>Bond No. 9</t>
        </is>
      </c>
      <c r="B253" s="47" t="inlineStr">
        <is>
          <t>BOND NO 9 SUTTON PLACE EDP 100ML</t>
        </is>
      </c>
      <c r="C253" s="48" t="n">
        <v>100</v>
      </c>
      <c r="D253" s="49" t="inlineStr">
        <is>
          <t>Nicho</t>
        </is>
      </c>
      <c r="E253" s="50" t="n">
        <v>200</v>
      </c>
      <c r="F253" s="51">
        <f>E253*$B$5*(1+$B$6)</f>
        <v>260000</v>
      </c>
      <c r="G253" s="51">
        <f>F253*$B$7</f>
        <v>650000</v>
      </c>
      <c r="H253" s="51">
        <f>G253-F253</f>
        <v>390000</v>
      </c>
      <c r="I253" s="52">
        <f>H253/G253</f>
        <v>0.6</v>
      </c>
      <c r="J253" s="53" t="n"/>
      <c r="K253" s="54" t="n"/>
    </row>
    <row r="254">
      <c r="A254" s="39" t="inlineStr">
        <is>
          <t>Bond No. 9</t>
        </is>
      </c>
      <c r="B254" s="47" t="inlineStr">
        <is>
          <t>BOND NO 9 WALL STREET EDP 100ML</t>
        </is>
      </c>
      <c r="C254" s="48" t="n">
        <v>100</v>
      </c>
      <c r="D254" s="49" t="inlineStr">
        <is>
          <t>Nicho</t>
        </is>
      </c>
      <c r="E254" s="50" t="n">
        <v>200</v>
      </c>
      <c r="F254" s="51">
        <f>E254*$B$5*(1+$B$6)</f>
        <v>260000</v>
      </c>
      <c r="G254" s="51">
        <f>F254*$B$7</f>
        <v>650000</v>
      </c>
      <c r="H254" s="51">
        <f>G254-F254</f>
        <v>390000</v>
      </c>
      <c r="I254" s="52">
        <f>H254/G254</f>
        <v>0.6</v>
      </c>
      <c r="J254" s="53" t="n"/>
      <c r="K254" s="54" t="n"/>
    </row>
    <row r="255">
      <c r="A255" s="39" t="inlineStr">
        <is>
          <t>Britney Spears</t>
        </is>
      </c>
      <c r="B255" s="47" t="inlineStr">
        <is>
          <t>BRITNEY SPEARS BELIEVE EDP 100ML FEM</t>
        </is>
      </c>
      <c r="C255" s="48" t="n">
        <v>100</v>
      </c>
      <c r="D255" s="49" t="inlineStr">
        <is>
          <t>Diseñador</t>
        </is>
      </c>
      <c r="E255" s="50" t="n">
        <v>19</v>
      </c>
      <c r="F255" s="51">
        <f>E255*$B$5*(1+$B$6)</f>
        <v>24700</v>
      </c>
      <c r="G255" s="51">
        <f>F255*$B$7</f>
        <v>61750</v>
      </c>
      <c r="H255" s="51">
        <f>G255-F255</f>
        <v>37050</v>
      </c>
      <c r="I255" s="52">
        <f>H255/G255</f>
        <v>0.6</v>
      </c>
      <c r="J255" s="53" t="n"/>
      <c r="K255" s="54" t="n"/>
    </row>
    <row r="256">
      <c r="A256" s="39" t="inlineStr">
        <is>
          <t>Britney Spears</t>
        </is>
      </c>
      <c r="B256" s="47" t="inlineStr">
        <is>
          <t>BRITNEY SPEARS CURIOUS EDP 100ML FEM</t>
        </is>
      </c>
      <c r="C256" s="48" t="n">
        <v>100</v>
      </c>
      <c r="D256" s="49" t="inlineStr">
        <is>
          <t>Diseñador</t>
        </is>
      </c>
      <c r="E256" s="50" t="n">
        <v>19</v>
      </c>
      <c r="F256" s="51">
        <f>E256*$B$5*(1+$B$6)</f>
        <v>24700</v>
      </c>
      <c r="G256" s="51">
        <f>F256*$B$7</f>
        <v>61750</v>
      </c>
      <c r="H256" s="51">
        <f>G256-F256</f>
        <v>37050</v>
      </c>
      <c r="I256" s="52">
        <f>H256/G256</f>
        <v>0.6</v>
      </c>
      <c r="J256" s="53" t="n"/>
      <c r="K256" s="54" t="n"/>
    </row>
    <row r="257">
      <c r="A257" s="39" t="inlineStr">
        <is>
          <t>Britney Spears</t>
        </is>
      </c>
      <c r="B257" s="47" t="inlineStr">
        <is>
          <t>BRITNEY SPEARS FANTASY EDP 100ML FEM</t>
        </is>
      </c>
      <c r="C257" s="48" t="n">
        <v>100</v>
      </c>
      <c r="D257" s="49" t="inlineStr">
        <is>
          <t>Diseñador</t>
        </is>
      </c>
      <c r="E257" s="50" t="n">
        <v>22.5</v>
      </c>
      <c r="F257" s="51">
        <f>E257*$B$5*(1+$B$6)</f>
        <v>29250</v>
      </c>
      <c r="G257" s="51">
        <f>F257*$B$7</f>
        <v>73125</v>
      </c>
      <c r="H257" s="51">
        <f>G257-F257</f>
        <v>43875</v>
      </c>
      <c r="I257" s="52">
        <f>H257/G257</f>
        <v>0.6</v>
      </c>
      <c r="J257" s="53" t="n"/>
      <c r="K257" s="54" t="n"/>
    </row>
    <row r="258">
      <c r="A258" s="39" t="inlineStr">
        <is>
          <t>Britney Spears</t>
        </is>
      </c>
      <c r="B258" s="47" t="inlineStr">
        <is>
          <t>BRITNEY SPEARS FANTASY HIDDEN EDP 100ML FEM</t>
        </is>
      </c>
      <c r="C258" s="48" t="n">
        <v>100</v>
      </c>
      <c r="D258" s="49" t="inlineStr">
        <is>
          <t>Diseñador</t>
        </is>
      </c>
      <c r="E258" s="50" t="n">
        <v>17</v>
      </c>
      <c r="F258" s="51">
        <f>E258*$B$5*(1+$B$6)</f>
        <v>22100</v>
      </c>
      <c r="G258" s="51">
        <f>F258*$B$7</f>
        <v>55250</v>
      </c>
      <c r="H258" s="51">
        <f>G258-F258</f>
        <v>33150</v>
      </c>
      <c r="I258" s="52">
        <f>H258/G258</f>
        <v>0.6</v>
      </c>
      <c r="J258" s="53" t="n"/>
      <c r="K258" s="54" t="n"/>
    </row>
    <row r="259">
      <c r="A259" s="39" t="inlineStr">
        <is>
          <t>Britney Spears</t>
        </is>
      </c>
      <c r="B259" s="47" t="inlineStr">
        <is>
          <t>BRITNEY SPEARS FANTASY JUNGLE EDT 100ML FEM</t>
        </is>
      </c>
      <c r="C259" s="48" t="n">
        <v>100</v>
      </c>
      <c r="D259" s="49" t="inlineStr">
        <is>
          <t>Diseñador</t>
        </is>
      </c>
      <c r="E259" s="50" t="n">
        <v>20</v>
      </c>
      <c r="F259" s="51">
        <f>E259*$B$5*(1+$B$6)</f>
        <v>26000</v>
      </c>
      <c r="G259" s="51">
        <f>F259*$B$7</f>
        <v>65000</v>
      </c>
      <c r="H259" s="51">
        <f>G259-F259</f>
        <v>39000</v>
      </c>
      <c r="I259" s="52">
        <f>H259/G259</f>
        <v>0.6</v>
      </c>
      <c r="J259" s="53" t="n"/>
      <c r="K259" s="54" t="n"/>
    </row>
    <row r="260">
      <c r="A260" s="39" t="inlineStr">
        <is>
          <t>Britney Spears</t>
        </is>
      </c>
      <c r="B260" s="47" t="inlineStr">
        <is>
          <t>BRITNEY SPEARS FANTASY MIDNIGHT EDP 100ML FEM</t>
        </is>
      </c>
      <c r="C260" s="48" t="n">
        <v>100</v>
      </c>
      <c r="D260" s="49" t="inlineStr">
        <is>
          <t>Diseñador</t>
        </is>
      </c>
      <c r="E260" s="50" t="n">
        <v>19</v>
      </c>
      <c r="F260" s="51">
        <f>E260*$B$5*(1+$B$6)</f>
        <v>24700</v>
      </c>
      <c r="G260" s="51">
        <f>F260*$B$7</f>
        <v>61750</v>
      </c>
      <c r="H260" s="51">
        <f>G260-F260</f>
        <v>37050</v>
      </c>
      <c r="I260" s="52">
        <f>H260/G260</f>
        <v>0.6</v>
      </c>
      <c r="J260" s="53" t="n"/>
      <c r="K260" s="54" t="n"/>
    </row>
    <row r="261">
      <c r="A261" s="39" t="inlineStr">
        <is>
          <t>Britney Spears</t>
        </is>
      </c>
      <c r="B261" s="47" t="inlineStr">
        <is>
          <t>BRITNEY SPEARS FANTASY NAKED EDT 100ML FEM</t>
        </is>
      </c>
      <c r="C261" s="48" t="n">
        <v>100</v>
      </c>
      <c r="D261" s="49" t="inlineStr">
        <is>
          <t>Diseñador</t>
        </is>
      </c>
      <c r="E261" s="50" t="n">
        <v>19.5</v>
      </c>
      <c r="F261" s="51">
        <f>E261*$B$5*(1+$B$6)</f>
        <v>25350</v>
      </c>
      <c r="G261" s="51">
        <f>F261*$B$7</f>
        <v>63375</v>
      </c>
      <c r="H261" s="51">
        <f>G261-F261</f>
        <v>38025</v>
      </c>
      <c r="I261" s="52">
        <f>H261/G261</f>
        <v>0.6</v>
      </c>
      <c r="J261" s="53" t="n"/>
      <c r="K261" s="54" t="n"/>
    </row>
    <row r="262">
      <c r="A262" s="39" t="inlineStr">
        <is>
          <t>Britney Spears</t>
        </is>
      </c>
      <c r="B262" s="47" t="inlineStr">
        <is>
          <t>TESTER BRITNEY SPEARS FANTASY EDP 100ML FEM</t>
        </is>
      </c>
      <c r="C262" s="48" t="n">
        <v>100</v>
      </c>
      <c r="D262" s="49" t="inlineStr">
        <is>
          <t>Tester</t>
        </is>
      </c>
      <c r="E262" s="50" t="n">
        <v>17.75</v>
      </c>
      <c r="F262" s="51">
        <f>E262*$B$5*(1+$B$6)</f>
        <v>23075</v>
      </c>
      <c r="G262" s="51">
        <f>F262*$B$7</f>
        <v>57687.5</v>
      </c>
      <c r="H262" s="51">
        <f>G262-F262</f>
        <v>34612.5</v>
      </c>
      <c r="I262" s="52">
        <f>H262/G262</f>
        <v>0.6</v>
      </c>
      <c r="J262" s="53" t="n"/>
      <c r="K262" s="54" t="n"/>
    </row>
    <row r="263">
      <c r="A263" s="39" t="inlineStr">
        <is>
          <t>Britney Spears</t>
        </is>
      </c>
      <c r="B263" s="47" t="inlineStr">
        <is>
          <t>TESTER BRITNEY SPEARS FANTASY MIDNIGHT EDP 100ML FEM</t>
        </is>
      </c>
      <c r="C263" s="48" t="n">
        <v>100</v>
      </c>
      <c r="D263" s="49" t="inlineStr">
        <is>
          <t>Tester</t>
        </is>
      </c>
      <c r="E263" s="50" t="n">
        <v>15</v>
      </c>
      <c r="F263" s="51">
        <f>E263*$B$5*(1+$B$6)</f>
        <v>19500</v>
      </c>
      <c r="G263" s="51">
        <f>F263*$B$7</f>
        <v>48750</v>
      </c>
      <c r="H263" s="51">
        <f>G263-F263</f>
        <v>29250</v>
      </c>
      <c r="I263" s="52">
        <f>H263/G263</f>
        <v>0.6</v>
      </c>
      <c r="J263" s="53" t="n"/>
      <c r="K263" s="54" t="n"/>
    </row>
    <row r="264">
      <c r="A264" s="39" t="inlineStr">
        <is>
          <t>Brut</t>
        </is>
      </c>
      <c r="B264" s="47" t="inlineStr">
        <is>
          <t>DESODORANTE BRUT CLASSIC SCENT 24HRS 283G</t>
        </is>
      </c>
      <c r="C264" s="48" t="n"/>
      <c r="D264" s="49" t="inlineStr">
        <is>
          <t>Diseñador</t>
        </is>
      </c>
      <c r="E264" s="50" t="n">
        <v>6</v>
      </c>
      <c r="F264" s="51">
        <f>E264*$B$5*(1+$B$6)</f>
        <v>7800</v>
      </c>
      <c r="G264" s="51">
        <f>F264*$B$7</f>
        <v>19500</v>
      </c>
      <c r="H264" s="51">
        <f>G264-F264</f>
        <v>11700</v>
      </c>
      <c r="I264" s="52">
        <f>H264/G264</f>
        <v>0.6</v>
      </c>
      <c r="J264" s="53" t="n"/>
      <c r="K264" s="54" t="n"/>
    </row>
    <row r="265">
      <c r="A265" s="39" t="inlineStr">
        <is>
          <t>Burberry</t>
        </is>
      </c>
      <c r="B265" s="47" t="inlineStr">
        <is>
          <t>BURBERRY GODDESS EDP 100ML FEMININO</t>
        </is>
      </c>
      <c r="C265" s="48" t="n">
        <v>100</v>
      </c>
      <c r="D265" s="49" t="inlineStr">
        <is>
          <t>Diseñador</t>
        </is>
      </c>
      <c r="E265" s="50" t="n">
        <v>87</v>
      </c>
      <c r="F265" s="51">
        <f>E265*$B$5*(1+$B$6)</f>
        <v>113100</v>
      </c>
      <c r="G265" s="51">
        <f>F265*$B$7</f>
        <v>282750</v>
      </c>
      <c r="H265" s="51">
        <f>G265-F265</f>
        <v>169650</v>
      </c>
      <c r="I265" s="52">
        <f>H265/G265</f>
        <v>0.6</v>
      </c>
      <c r="J265" s="53" t="n"/>
      <c r="K265" s="54" t="n"/>
    </row>
    <row r="266">
      <c r="A266" s="39" t="inlineStr">
        <is>
          <t>Burberry</t>
        </is>
      </c>
      <c r="B266" s="47" t="inlineStr">
        <is>
          <t>BURBERRY GODDESS INTENSE EDP 100ML FEMININO</t>
        </is>
      </c>
      <c r="C266" s="48" t="n">
        <v>100</v>
      </c>
      <c r="D266" s="49" t="inlineStr">
        <is>
          <t>Diseñador</t>
        </is>
      </c>
      <c r="E266" s="50" t="n">
        <v>90</v>
      </c>
      <c r="F266" s="51">
        <f>E266*$B$5*(1+$B$6)</f>
        <v>117000</v>
      </c>
      <c r="G266" s="51">
        <f>F266*$B$7</f>
        <v>292500</v>
      </c>
      <c r="H266" s="51">
        <f>G266-F266</f>
        <v>175500</v>
      </c>
      <c r="I266" s="52">
        <f>H266/G266</f>
        <v>0.6</v>
      </c>
      <c r="J266" s="53" t="n"/>
      <c r="K266" s="54" t="n"/>
    </row>
    <row r="267">
      <c r="A267" s="39" t="inlineStr">
        <is>
          <t>Burberry</t>
        </is>
      </c>
      <c r="B267" s="47" t="inlineStr">
        <is>
          <t>BURBERRY GODDESS PARFUM 100ML FEM</t>
        </is>
      </c>
      <c r="C267" s="48" t="n">
        <v>100</v>
      </c>
      <c r="D267" s="49" t="inlineStr">
        <is>
          <t>Diseñador</t>
        </is>
      </c>
      <c r="E267" s="50" t="n">
        <v>105</v>
      </c>
      <c r="F267" s="51">
        <f>E267*$B$5*(1+$B$6)</f>
        <v>136500</v>
      </c>
      <c r="G267" s="51">
        <f>F267*$B$7</f>
        <v>341250</v>
      </c>
      <c r="H267" s="51">
        <f>G267-F267</f>
        <v>204750</v>
      </c>
      <c r="I267" s="52">
        <f>H267/G267</f>
        <v>0.6</v>
      </c>
      <c r="J267" s="53" t="n"/>
      <c r="K267" s="54" t="n"/>
    </row>
    <row r="268">
      <c r="A268" s="39" t="inlineStr">
        <is>
          <t>Burberry</t>
        </is>
      </c>
      <c r="B268" s="47" t="inlineStr">
        <is>
          <t>BURBERRY HER BLOSSON EDT 100ML</t>
        </is>
      </c>
      <c r="C268" s="48" t="n">
        <v>100</v>
      </c>
      <c r="D268" s="49" t="inlineStr">
        <is>
          <t>Diseñador</t>
        </is>
      </c>
      <c r="E268" s="50" t="n">
        <v>89</v>
      </c>
      <c r="F268" s="51">
        <f>E268*$B$5*(1+$B$6)</f>
        <v>115700</v>
      </c>
      <c r="G268" s="51">
        <f>F268*$B$7</f>
        <v>289250</v>
      </c>
      <c r="H268" s="51">
        <f>G268-F268</f>
        <v>173550</v>
      </c>
      <c r="I268" s="52">
        <f>H268/G268</f>
        <v>0.6</v>
      </c>
      <c r="J268" s="53" t="n"/>
      <c r="K268" s="54" t="n"/>
    </row>
    <row r="269">
      <c r="A269" s="39" t="inlineStr">
        <is>
          <t>Burberry</t>
        </is>
      </c>
      <c r="B269" s="47" t="inlineStr">
        <is>
          <t>BURBERRY HER BLOSSON EDT 50ML</t>
        </is>
      </c>
      <c r="C269" s="48" t="n">
        <v>50</v>
      </c>
      <c r="D269" s="49" t="inlineStr">
        <is>
          <t>Diseñador</t>
        </is>
      </c>
      <c r="E269" s="50" t="n">
        <v>67</v>
      </c>
      <c r="F269" s="51">
        <f>E269*$B$5*(1+$B$6)</f>
        <v>87100</v>
      </c>
      <c r="G269" s="51">
        <f>F269*$B$7</f>
        <v>217750</v>
      </c>
      <c r="H269" s="51">
        <f>G269-F269</f>
        <v>130650</v>
      </c>
      <c r="I269" s="52">
        <f>H269/G269</f>
        <v>0.6</v>
      </c>
      <c r="J269" s="53" t="n"/>
      <c r="K269" s="54" t="n"/>
    </row>
    <row r="270">
      <c r="A270" s="39" t="inlineStr">
        <is>
          <t>Burberry</t>
        </is>
      </c>
      <c r="B270" s="47" t="inlineStr">
        <is>
          <t>BURBERRY HER EDP 100ML FEMININO</t>
        </is>
      </c>
      <c r="C270" s="48" t="n">
        <v>100</v>
      </c>
      <c r="D270" s="49" t="inlineStr">
        <is>
          <t>Diseñador</t>
        </is>
      </c>
      <c r="E270" s="50" t="n">
        <v>95</v>
      </c>
      <c r="F270" s="51">
        <f>E270*$B$5*(1+$B$6)</f>
        <v>123500</v>
      </c>
      <c r="G270" s="51">
        <f>F270*$B$7</f>
        <v>308750</v>
      </c>
      <c r="H270" s="51">
        <f>G270-F270</f>
        <v>185250</v>
      </c>
      <c r="I270" s="52">
        <f>H270/G270</f>
        <v>0.6</v>
      </c>
      <c r="J270" s="53" t="n"/>
      <c r="K270" s="54" t="n"/>
    </row>
    <row r="271">
      <c r="A271" s="39" t="inlineStr">
        <is>
          <t>Burberry</t>
        </is>
      </c>
      <c r="B271" s="47" t="inlineStr">
        <is>
          <t>BURBERRY HER EDP 50ML</t>
        </is>
      </c>
      <c r="C271" s="48" t="n">
        <v>50</v>
      </c>
      <c r="D271" s="49" t="inlineStr">
        <is>
          <t>Diseñador</t>
        </is>
      </c>
      <c r="E271" s="50" t="n">
        <v>80</v>
      </c>
      <c r="F271" s="51">
        <f>E271*$B$5*(1+$B$6)</f>
        <v>104000</v>
      </c>
      <c r="G271" s="51">
        <f>F271*$B$7</f>
        <v>260000</v>
      </c>
      <c r="H271" s="51">
        <f>G271-F271</f>
        <v>156000</v>
      </c>
      <c r="I271" s="52">
        <f>H271/G271</f>
        <v>0.6</v>
      </c>
      <c r="J271" s="53" t="n"/>
      <c r="K271" s="54" t="n"/>
    </row>
    <row r="272">
      <c r="A272" s="39" t="inlineStr">
        <is>
          <t>Burberry</t>
        </is>
      </c>
      <c r="B272" s="47" t="inlineStr">
        <is>
          <t>BURBERRY HER EDT 100ML FEM</t>
        </is>
      </c>
      <c r="C272" s="48" t="n">
        <v>100</v>
      </c>
      <c r="D272" s="49" t="inlineStr">
        <is>
          <t>Diseñador</t>
        </is>
      </c>
      <c r="E272" s="50" t="n">
        <v>75</v>
      </c>
      <c r="F272" s="51">
        <f>E272*$B$5*(1+$B$6)</f>
        <v>97500</v>
      </c>
      <c r="G272" s="51">
        <f>F272*$B$7</f>
        <v>243750</v>
      </c>
      <c r="H272" s="51">
        <f>G272-F272</f>
        <v>146250</v>
      </c>
      <c r="I272" s="52">
        <f>H272/G272</f>
        <v>0.6</v>
      </c>
      <c r="J272" s="53" t="n"/>
      <c r="K272" s="54" t="n"/>
    </row>
    <row r="273">
      <c r="A273" s="39" t="inlineStr">
        <is>
          <t>Burberry</t>
        </is>
      </c>
      <c r="B273" s="47" t="inlineStr">
        <is>
          <t>BURBERRY HERO EDT 100ML MASCULINO</t>
        </is>
      </c>
      <c r="C273" s="48" t="n">
        <v>100</v>
      </c>
      <c r="D273" s="49" t="inlineStr">
        <is>
          <t>Diseñador</t>
        </is>
      </c>
      <c r="E273" s="50" t="n">
        <v>53</v>
      </c>
      <c r="F273" s="51">
        <f>E273*$B$5*(1+$B$6)</f>
        <v>68900</v>
      </c>
      <c r="G273" s="51">
        <f>F273*$B$7</f>
        <v>172250</v>
      </c>
      <c r="H273" s="51">
        <f>G273-F273</f>
        <v>103350</v>
      </c>
      <c r="I273" s="52">
        <f>H273/G273</f>
        <v>0.6</v>
      </c>
      <c r="J273" s="53" t="n"/>
      <c r="K273" s="54" t="n"/>
    </row>
    <row r="274">
      <c r="A274" s="39" t="inlineStr">
        <is>
          <t>Burberry</t>
        </is>
      </c>
      <c r="B274" s="47" t="inlineStr">
        <is>
          <t>BURBERRY MY BURBERRY BLACK PARFUM 90ML FEMININO</t>
        </is>
      </c>
      <c r="C274" s="48" t="n">
        <v>90</v>
      </c>
      <c r="D274" s="49" t="inlineStr">
        <is>
          <t>Diseñador</t>
        </is>
      </c>
      <c r="E274" s="50" t="n">
        <v>68</v>
      </c>
      <c r="F274" s="51">
        <f>E274*$B$5*(1+$B$6)</f>
        <v>88400</v>
      </c>
      <c r="G274" s="51">
        <f>F274*$B$7</f>
        <v>221000</v>
      </c>
      <c r="H274" s="51">
        <f>G274-F274</f>
        <v>132600</v>
      </c>
      <c r="I274" s="52">
        <f>H274/G274</f>
        <v>0.6</v>
      </c>
      <c r="J274" s="53" t="n"/>
      <c r="K274" s="54" t="n"/>
    </row>
    <row r="275">
      <c r="A275" s="39" t="inlineStr">
        <is>
          <t>Burberry</t>
        </is>
      </c>
      <c r="B275" s="47" t="inlineStr">
        <is>
          <t>BURBERRY MY BURBERRY BLUSH EDP 90ML FEMININO</t>
        </is>
      </c>
      <c r="C275" s="48" t="n">
        <v>90</v>
      </c>
      <c r="D275" s="49" t="inlineStr">
        <is>
          <t>Diseñador</t>
        </is>
      </c>
      <c r="E275" s="50" t="n">
        <v>75</v>
      </c>
      <c r="F275" s="51">
        <f>E275*$B$5*(1+$B$6)</f>
        <v>97500</v>
      </c>
      <c r="G275" s="51">
        <f>F275*$B$7</f>
        <v>243750</v>
      </c>
      <c r="H275" s="51">
        <f>G275-F275</f>
        <v>146250</v>
      </c>
      <c r="I275" s="52">
        <f>H275/G275</f>
        <v>0.6</v>
      </c>
      <c r="J275" s="53" t="n"/>
      <c r="K275" s="54" t="n"/>
    </row>
    <row r="276">
      <c r="A276" s="39" t="inlineStr">
        <is>
          <t>Burberry</t>
        </is>
      </c>
      <c r="B276" s="47" t="inlineStr">
        <is>
          <t>TESTER BURBERRY MY EDP 90ML FEM</t>
        </is>
      </c>
      <c r="C276" s="48" t="n">
        <v>90</v>
      </c>
      <c r="D276" s="49" t="inlineStr">
        <is>
          <t>Tester</t>
        </is>
      </c>
      <c r="E276" s="50" t="n">
        <v>58</v>
      </c>
      <c r="F276" s="51">
        <f>E276*$B$5*(1+$B$6)</f>
        <v>75400</v>
      </c>
      <c r="G276" s="51">
        <f>F276*$B$7</f>
        <v>188500</v>
      </c>
      <c r="H276" s="51">
        <f>G276-F276</f>
        <v>113100</v>
      </c>
      <c r="I276" s="52">
        <f>H276/G276</f>
        <v>0.6</v>
      </c>
      <c r="J276" s="53" t="n"/>
      <c r="K276" s="54" t="n"/>
    </row>
    <row r="277">
      <c r="A277" s="39" t="inlineStr">
        <is>
          <t>Bvlgari</t>
        </is>
      </c>
      <c r="B277" s="47" t="inlineStr">
        <is>
          <t>BVLGARI AQVA POUR HOMME EDT 100ML</t>
        </is>
      </c>
      <c r="C277" s="48" t="n">
        <v>100</v>
      </c>
      <c r="D277" s="49" t="inlineStr">
        <is>
          <t>Diseñador</t>
        </is>
      </c>
      <c r="E277" s="50" t="n">
        <v>86</v>
      </c>
      <c r="F277" s="51">
        <f>E277*$B$5*(1+$B$6)</f>
        <v>111800</v>
      </c>
      <c r="G277" s="51">
        <f>F277*$B$7</f>
        <v>279500</v>
      </c>
      <c r="H277" s="51">
        <f>G277-F277</f>
        <v>167700</v>
      </c>
      <c r="I277" s="52">
        <f>H277/G277</f>
        <v>0.6</v>
      </c>
      <c r="J277" s="53" t="n"/>
      <c r="K277" s="54" t="n"/>
    </row>
    <row r="278">
      <c r="A278" s="39" t="inlineStr">
        <is>
          <t>Bvlgari</t>
        </is>
      </c>
      <c r="B278" s="47" t="inlineStr">
        <is>
          <t>BVLGARI KIT OMNIA AMETHYSTE EDT 100ML + EDT 15ML</t>
        </is>
      </c>
      <c r="C278" s="48" t="n">
        <v>100</v>
      </c>
      <c r="D278" s="49" t="inlineStr">
        <is>
          <t>Diseñador</t>
        </is>
      </c>
      <c r="E278" s="50" t="n">
        <v>102</v>
      </c>
      <c r="F278" s="51">
        <f>E278*$B$5*(1+$B$6)</f>
        <v>132600</v>
      </c>
      <c r="G278" s="51">
        <f>F278*$B$7</f>
        <v>331500</v>
      </c>
      <c r="H278" s="51">
        <f>G278-F278</f>
        <v>198900</v>
      </c>
      <c r="I278" s="52">
        <f>H278/G278</f>
        <v>0.6</v>
      </c>
      <c r="J278" s="53" t="n"/>
      <c r="K278" s="54" t="n"/>
    </row>
    <row r="279">
      <c r="A279" s="39" t="inlineStr">
        <is>
          <t>Bvlgari</t>
        </is>
      </c>
      <c r="B279" s="47" t="inlineStr">
        <is>
          <t>BVLGARI MAN IN BLACK EDP 100ML MASC</t>
        </is>
      </c>
      <c r="C279" s="48" t="n">
        <v>100</v>
      </c>
      <c r="D279" s="49" t="inlineStr">
        <is>
          <t>Diseñador</t>
        </is>
      </c>
      <c r="E279" s="50" t="n">
        <v>86.5</v>
      </c>
      <c r="F279" s="51">
        <f>E279*$B$5*(1+$B$6)</f>
        <v>112450</v>
      </c>
      <c r="G279" s="51">
        <f>F279*$B$7</f>
        <v>281125</v>
      </c>
      <c r="H279" s="51">
        <f>G279-F279</f>
        <v>168675</v>
      </c>
      <c r="I279" s="52">
        <f>H279/G279</f>
        <v>0.6</v>
      </c>
      <c r="J279" s="53" t="n"/>
      <c r="K279" s="54" t="n"/>
    </row>
    <row r="280">
      <c r="A280" s="39" t="inlineStr">
        <is>
          <t>Bvlgari</t>
        </is>
      </c>
      <c r="B280" s="47" t="inlineStr">
        <is>
          <t>BVLGARI MAN IN BLACK PARFUM 100ML MASC</t>
        </is>
      </c>
      <c r="C280" s="48" t="n">
        <v>100</v>
      </c>
      <c r="D280" s="49" t="inlineStr">
        <is>
          <t>Diseñador</t>
        </is>
      </c>
      <c r="E280" s="50" t="n">
        <v>98</v>
      </c>
      <c r="F280" s="51">
        <f>E280*$B$5*(1+$B$6)</f>
        <v>127400</v>
      </c>
      <c r="G280" s="51">
        <f>F280*$B$7</f>
        <v>318500</v>
      </c>
      <c r="H280" s="51">
        <f>G280-F280</f>
        <v>191100</v>
      </c>
      <c r="I280" s="52">
        <f>H280/G280</f>
        <v>0.6</v>
      </c>
      <c r="J280" s="53" t="n"/>
      <c r="K280" s="54" t="n"/>
    </row>
    <row r="281">
      <c r="A281" s="39" t="inlineStr">
        <is>
          <t>Bvlgari</t>
        </is>
      </c>
      <c r="B281" s="47" t="inlineStr">
        <is>
          <t>BVLGARI MAN IN BLACK PARFUM 60ML MASC</t>
        </is>
      </c>
      <c r="C281" s="48" t="n">
        <v>60</v>
      </c>
      <c r="D281" s="49" t="inlineStr">
        <is>
          <t>Diseñador</t>
        </is>
      </c>
      <c r="E281" s="50" t="n">
        <v>75</v>
      </c>
      <c r="F281" s="51">
        <f>E281*$B$5*(1+$B$6)</f>
        <v>97500</v>
      </c>
      <c r="G281" s="51">
        <f>F281*$B$7</f>
        <v>243750</v>
      </c>
      <c r="H281" s="51">
        <f>G281-F281</f>
        <v>146250</v>
      </c>
      <c r="I281" s="52">
        <f>H281/G281</f>
        <v>0.6</v>
      </c>
      <c r="J281" s="53" t="n"/>
      <c r="K281" s="54" t="n"/>
    </row>
    <row r="282">
      <c r="A282" s="39" t="inlineStr">
        <is>
          <t>Bvlgari</t>
        </is>
      </c>
      <c r="B282" s="47" t="inlineStr">
        <is>
          <t>BVLGARI OMNIA AMETHYSTE EDT 100ML FEM</t>
        </is>
      </c>
      <c r="C282" s="48" t="n">
        <v>100</v>
      </c>
      <c r="D282" s="49" t="inlineStr">
        <is>
          <t>Diseñador</t>
        </is>
      </c>
      <c r="E282" s="50" t="n">
        <v>91.7</v>
      </c>
      <c r="F282" s="51">
        <f>E282*$B$5*(1+$B$6)</f>
        <v>119210</v>
      </c>
      <c r="G282" s="51">
        <f>F282*$B$7</f>
        <v>298025</v>
      </c>
      <c r="H282" s="51">
        <f>G282-F282</f>
        <v>178815</v>
      </c>
      <c r="I282" s="52">
        <f>H282/G282</f>
        <v>0.6</v>
      </c>
      <c r="J282" s="53" t="n"/>
      <c r="K282" s="54" t="n"/>
    </row>
    <row r="283">
      <c r="A283" s="39" t="inlineStr">
        <is>
          <t>Bvlgari</t>
        </is>
      </c>
      <c r="B283" s="47" t="inlineStr">
        <is>
          <t>BVLGARI OMNIA AMETHYSTE EDT 40ML FEM</t>
        </is>
      </c>
      <c r="C283" s="48" t="n">
        <v>40</v>
      </c>
      <c r="D283" s="49" t="inlineStr">
        <is>
          <t>Diseñador</t>
        </is>
      </c>
      <c r="E283" s="50" t="n">
        <v>55.5</v>
      </c>
      <c r="F283" s="51">
        <f>E283*$B$5*(1+$B$6)</f>
        <v>72150</v>
      </c>
      <c r="G283" s="51">
        <f>F283*$B$7</f>
        <v>180375</v>
      </c>
      <c r="H283" s="51">
        <f>G283-F283</f>
        <v>108225</v>
      </c>
      <c r="I283" s="52">
        <f>H283/G283</f>
        <v>0.6</v>
      </c>
      <c r="J283" s="53" t="n"/>
      <c r="K283" s="54" t="n"/>
    </row>
    <row r="284">
      <c r="A284" s="39" t="inlineStr">
        <is>
          <t>Bvlgari</t>
        </is>
      </c>
      <c r="B284" s="47" t="inlineStr">
        <is>
          <t>BVLGARI OMNIA CORAL EDT 100ML FEM</t>
        </is>
      </c>
      <c r="C284" s="48" t="n">
        <v>100</v>
      </c>
      <c r="D284" s="49" t="inlineStr">
        <is>
          <t>Diseñador</t>
        </is>
      </c>
      <c r="E284" s="50" t="n">
        <v>87</v>
      </c>
      <c r="F284" s="51">
        <f>E284*$B$5*(1+$B$6)</f>
        <v>113100</v>
      </c>
      <c r="G284" s="51">
        <f>F284*$B$7</f>
        <v>282750</v>
      </c>
      <c r="H284" s="51">
        <f>G284-F284</f>
        <v>169650</v>
      </c>
      <c r="I284" s="52">
        <f>H284/G284</f>
        <v>0.6</v>
      </c>
      <c r="J284" s="53" t="n"/>
      <c r="K284" s="54" t="n"/>
    </row>
    <row r="285">
      <c r="A285" s="39" t="inlineStr">
        <is>
          <t>Bvlgari</t>
        </is>
      </c>
      <c r="B285" s="47" t="inlineStr">
        <is>
          <t>BVLGARI OMNIA CRYSTALLINE EDT 100ML FEM</t>
        </is>
      </c>
      <c r="C285" s="48" t="n">
        <v>100</v>
      </c>
      <c r="D285" s="49" t="inlineStr">
        <is>
          <t>Diseñador</t>
        </is>
      </c>
      <c r="E285" s="50" t="n">
        <v>86</v>
      </c>
      <c r="F285" s="51">
        <f>E285*$B$5*(1+$B$6)</f>
        <v>111800</v>
      </c>
      <c r="G285" s="51">
        <f>F285*$B$7</f>
        <v>279500</v>
      </c>
      <c r="H285" s="51">
        <f>G285-F285</f>
        <v>167700</v>
      </c>
      <c r="I285" s="52">
        <f>H285/G285</f>
        <v>0.6</v>
      </c>
      <c r="J285" s="53" t="n"/>
      <c r="K285" s="54" t="n"/>
    </row>
    <row r="286">
      <c r="A286" s="39" t="inlineStr">
        <is>
          <t>Bvlgari</t>
        </is>
      </c>
      <c r="B286" s="47" t="inlineStr">
        <is>
          <t>BVLGARI OMNIA PINK SAPPHIRE 65ML</t>
        </is>
      </c>
      <c r="C286" s="48" t="n">
        <v>65</v>
      </c>
      <c r="D286" s="49" t="inlineStr">
        <is>
          <t>Diseñador</t>
        </is>
      </c>
      <c r="E286" s="50" t="n">
        <v>59</v>
      </c>
      <c r="F286" s="51">
        <f>E286*$B$5*(1+$B$6)</f>
        <v>76700</v>
      </c>
      <c r="G286" s="51">
        <f>F286*$B$7</f>
        <v>191750</v>
      </c>
      <c r="H286" s="51">
        <f>G286-F286</f>
        <v>115050</v>
      </c>
      <c r="I286" s="52">
        <f>H286/G286</f>
        <v>0.6</v>
      </c>
      <c r="J286" s="53" t="n"/>
      <c r="K286" s="54" t="n"/>
    </row>
    <row r="287">
      <c r="A287" s="39" t="inlineStr">
        <is>
          <t>Bvlgari</t>
        </is>
      </c>
      <c r="B287" s="47" t="inlineStr">
        <is>
          <t>BVLGARI ROSE GOLDEA BLOSSOM DELIGHT EDP 75ML</t>
        </is>
      </c>
      <c r="C287" s="48" t="n">
        <v>75</v>
      </c>
      <c r="D287" s="49" t="inlineStr">
        <is>
          <t>Diseñador</t>
        </is>
      </c>
      <c r="E287" s="50" t="n">
        <v>93</v>
      </c>
      <c r="F287" s="51">
        <f>E287*$B$5*(1+$B$6)</f>
        <v>120900</v>
      </c>
      <c r="G287" s="51">
        <f>F287*$B$7</f>
        <v>302250</v>
      </c>
      <c r="H287" s="51">
        <f>G287-F287</f>
        <v>181350</v>
      </c>
      <c r="I287" s="52">
        <f>H287/G287</f>
        <v>0.6</v>
      </c>
      <c r="J287" s="53" t="n"/>
      <c r="K287" s="54" t="n"/>
    </row>
    <row r="288">
      <c r="A288" s="39" t="inlineStr">
        <is>
          <t>Bvlgari</t>
        </is>
      </c>
      <c r="B288" s="47" t="inlineStr">
        <is>
          <t>BVLGARI ROSE GOLDEA BLOSSOM DELIGHT EDT 75ML</t>
        </is>
      </c>
      <c r="C288" s="48" t="n">
        <v>75</v>
      </c>
      <c r="D288" s="49" t="inlineStr">
        <is>
          <t>Diseñador</t>
        </is>
      </c>
      <c r="E288" s="50" t="n">
        <v>72</v>
      </c>
      <c r="F288" s="51">
        <f>E288*$B$5*(1+$B$6)</f>
        <v>93600</v>
      </c>
      <c r="G288" s="51">
        <f>F288*$B$7</f>
        <v>234000</v>
      </c>
      <c r="H288" s="51">
        <f>G288-F288</f>
        <v>140400</v>
      </c>
      <c r="I288" s="52">
        <f>H288/G288</f>
        <v>0.6</v>
      </c>
      <c r="J288" s="53" t="n"/>
      <c r="K288" s="54" t="n"/>
    </row>
    <row r="289">
      <c r="A289" s="39" t="inlineStr">
        <is>
          <t>Bvlgari</t>
        </is>
      </c>
      <c r="B289" s="47" t="inlineStr">
        <is>
          <t>TESTER BVLGARI MAN IN BLACK EDP 100ML C/T MASC</t>
        </is>
      </c>
      <c r="C289" s="48" t="n">
        <v>100</v>
      </c>
      <c r="D289" s="49" t="inlineStr">
        <is>
          <t>Tester</t>
        </is>
      </c>
      <c r="E289" s="50" t="n">
        <v>82</v>
      </c>
      <c r="F289" s="51">
        <f>E289*$B$5*(1+$B$6)</f>
        <v>106600</v>
      </c>
      <c r="G289" s="51">
        <f>F289*$B$7</f>
        <v>266500</v>
      </c>
      <c r="H289" s="51">
        <f>G289-F289</f>
        <v>159900</v>
      </c>
      <c r="I289" s="52">
        <f>H289/G289</f>
        <v>0.6</v>
      </c>
      <c r="J289" s="53" t="n"/>
      <c r="K289" s="54" t="n"/>
    </row>
    <row r="290">
      <c r="A290" s="39" t="inlineStr">
        <is>
          <t>Byredo</t>
        </is>
      </c>
      <c r="B290" s="47" t="inlineStr">
        <is>
          <t>BYREDO 1996 EDP 100ML</t>
        </is>
      </c>
      <c r="C290" s="48" t="n">
        <v>100</v>
      </c>
      <c r="D290" s="49" t="inlineStr">
        <is>
          <t>Nicho</t>
        </is>
      </c>
      <c r="E290" s="50" t="n">
        <v>280</v>
      </c>
      <c r="F290" s="51">
        <f>E290*$B$5*(1+$B$6)</f>
        <v>364000</v>
      </c>
      <c r="G290" s="51">
        <f>F290*$B$7</f>
        <v>910000</v>
      </c>
      <c r="H290" s="51">
        <f>G290-F290</f>
        <v>546000</v>
      </c>
      <c r="I290" s="52">
        <f>H290/G290</f>
        <v>0.6</v>
      </c>
      <c r="J290" s="53" t="n"/>
      <c r="K290" s="54" t="n"/>
    </row>
    <row r="291">
      <c r="A291" s="39" t="inlineStr">
        <is>
          <t>Byredo</t>
        </is>
      </c>
      <c r="B291" s="47" t="inlineStr">
        <is>
          <t>BYREDO BLACK SAFFRON EDP 100ML</t>
        </is>
      </c>
      <c r="C291" s="48" t="n">
        <v>100</v>
      </c>
      <c r="D291" s="49" t="inlineStr">
        <is>
          <t>Nicho</t>
        </is>
      </c>
      <c r="E291" s="50" t="n">
        <v>280</v>
      </c>
      <c r="F291" s="51">
        <f>E291*$B$5*(1+$B$6)</f>
        <v>364000</v>
      </c>
      <c r="G291" s="51">
        <f>F291*$B$7</f>
        <v>910000</v>
      </c>
      <c r="H291" s="51">
        <f>G291-F291</f>
        <v>546000</v>
      </c>
      <c r="I291" s="52">
        <f>H291/G291</f>
        <v>0.6</v>
      </c>
      <c r="J291" s="53" t="n"/>
      <c r="K291" s="54" t="n"/>
    </row>
    <row r="292">
      <c r="A292" s="39" t="inlineStr">
        <is>
          <t>Byredo</t>
        </is>
      </c>
      <c r="B292" s="47" t="inlineStr">
        <is>
          <t>BYREDO FLOWERHEAD EDP 50ML</t>
        </is>
      </c>
      <c r="C292" s="48" t="n">
        <v>50</v>
      </c>
      <c r="D292" s="49" t="inlineStr">
        <is>
          <t>Nicho</t>
        </is>
      </c>
      <c r="E292" s="50" t="n">
        <v>265</v>
      </c>
      <c r="F292" s="51">
        <f>E292*$B$5*(1+$B$6)</f>
        <v>344500</v>
      </c>
      <c r="G292" s="51">
        <f>F292*$B$7</f>
        <v>861250</v>
      </c>
      <c r="H292" s="51">
        <f>G292-F292</f>
        <v>516750</v>
      </c>
      <c r="I292" s="52">
        <f>H292/G292</f>
        <v>0.6</v>
      </c>
      <c r="J292" s="53" t="n"/>
      <c r="K292" s="54" t="n"/>
    </row>
    <row r="293">
      <c r="A293" s="39" t="inlineStr">
        <is>
          <t>Byredo</t>
        </is>
      </c>
      <c r="B293" s="47" t="inlineStr">
        <is>
          <t>BYREDO GYPSY WATER EDP 100ML</t>
        </is>
      </c>
      <c r="C293" s="48" t="n">
        <v>100</v>
      </c>
      <c r="D293" s="49" t="inlineStr">
        <is>
          <t>Nicho</t>
        </is>
      </c>
      <c r="E293" s="50" t="n">
        <v>280</v>
      </c>
      <c r="F293" s="51">
        <f>E293*$B$5*(1+$B$6)</f>
        <v>364000</v>
      </c>
      <c r="G293" s="51">
        <f>F293*$B$7</f>
        <v>910000</v>
      </c>
      <c r="H293" s="51">
        <f>G293-F293</f>
        <v>546000</v>
      </c>
      <c r="I293" s="52">
        <f>H293/G293</f>
        <v>0.6</v>
      </c>
      <c r="J293" s="53" t="n"/>
      <c r="K293" s="54" t="n"/>
    </row>
    <row r="294">
      <c r="A294" s="39" t="inlineStr">
        <is>
          <t>Byredo</t>
        </is>
      </c>
      <c r="B294" s="47" t="inlineStr">
        <is>
          <t>BYREDO MUMBAI NOISE EDP 50ML</t>
        </is>
      </c>
      <c r="C294" s="48" t="n">
        <v>50</v>
      </c>
      <c r="D294" s="49" t="inlineStr">
        <is>
          <t>Nicho</t>
        </is>
      </c>
      <c r="E294" s="50" t="n">
        <v>175</v>
      </c>
      <c r="F294" s="51">
        <f>E294*$B$5*(1+$B$6)</f>
        <v>227500</v>
      </c>
      <c r="G294" s="51">
        <f>F294*$B$7</f>
        <v>568750</v>
      </c>
      <c r="H294" s="51">
        <f>G294-F294</f>
        <v>341250</v>
      </c>
      <c r="I294" s="52">
        <f>H294/G294</f>
        <v>0.6</v>
      </c>
      <c r="J294" s="53" t="n"/>
      <c r="K294" s="54" t="n"/>
    </row>
    <row r="295">
      <c r="A295" s="39" t="inlineStr">
        <is>
          <t>Byredo</t>
        </is>
      </c>
      <c r="B295" s="47" t="inlineStr">
        <is>
          <t>BYREDO ROSE NOIR EDP 100ML FEM</t>
        </is>
      </c>
      <c r="C295" s="48" t="n">
        <v>100</v>
      </c>
      <c r="D295" s="49" t="inlineStr">
        <is>
          <t>Nicho</t>
        </is>
      </c>
      <c r="E295" s="50" t="n">
        <v>220</v>
      </c>
      <c r="F295" s="51">
        <f>E295*$B$5*(1+$B$6)</f>
        <v>286000</v>
      </c>
      <c r="G295" s="51">
        <f>F295*$B$7</f>
        <v>715000</v>
      </c>
      <c r="H295" s="51">
        <f>G295-F295</f>
        <v>429000</v>
      </c>
      <c r="I295" s="52">
        <f>H295/G295</f>
        <v>0.6</v>
      </c>
      <c r="J295" s="53" t="n"/>
      <c r="K295" s="54" t="n"/>
    </row>
    <row r="296">
      <c r="A296" s="39" t="inlineStr">
        <is>
          <t>Cacharel</t>
        </is>
      </c>
      <c r="B296" s="47" t="inlineStr">
        <is>
          <t>CACHAREL AMOR AMOR EDT 100ML FEM</t>
        </is>
      </c>
      <c r="C296" s="48" t="n">
        <v>100</v>
      </c>
      <c r="D296" s="49" t="inlineStr">
        <is>
          <t>Diseñador</t>
        </is>
      </c>
      <c r="E296" s="50" t="n">
        <v>30</v>
      </c>
      <c r="F296" s="51">
        <f>E296*$B$5*(1+$B$6)</f>
        <v>39000</v>
      </c>
      <c r="G296" s="51">
        <f>F296*$B$7</f>
        <v>97500</v>
      </c>
      <c r="H296" s="51">
        <f>G296-F296</f>
        <v>58500</v>
      </c>
      <c r="I296" s="52">
        <f>H296/G296</f>
        <v>0.6</v>
      </c>
      <c r="J296" s="53" t="n"/>
      <c r="K296" s="54" t="n"/>
    </row>
    <row r="297">
      <c r="A297" s="39" t="inlineStr">
        <is>
          <t>Cacharel</t>
        </is>
      </c>
      <c r="B297" s="47" t="inlineStr">
        <is>
          <t>CACHAREL ANAIS ANAIS EDT 100ML FEM</t>
        </is>
      </c>
      <c r="C297" s="48" t="n">
        <v>100</v>
      </c>
      <c r="D297" s="49" t="inlineStr">
        <is>
          <t>Diseñador</t>
        </is>
      </c>
      <c r="E297" s="50" t="n">
        <v>31.5</v>
      </c>
      <c r="F297" s="51">
        <f>E297*$B$5*(1+$B$6)</f>
        <v>40950</v>
      </c>
      <c r="G297" s="51">
        <f>F297*$B$7</f>
        <v>102375</v>
      </c>
      <c r="H297" s="51">
        <f>G297-F297</f>
        <v>61425</v>
      </c>
      <c r="I297" s="52">
        <f>H297/G297</f>
        <v>0.6</v>
      </c>
      <c r="J297" s="53" t="n"/>
      <c r="K297" s="54" t="n"/>
    </row>
    <row r="298">
      <c r="A298" s="39" t="inlineStr">
        <is>
          <t>Cacharel</t>
        </is>
      </c>
      <c r="B298" s="47" t="inlineStr">
        <is>
          <t>CACHAREL ANAIS ANAIS EDT 30ML FEM</t>
        </is>
      </c>
      <c r="C298" s="48" t="n">
        <v>30</v>
      </c>
      <c r="D298" s="49" t="inlineStr">
        <is>
          <t>Diseñador</t>
        </is>
      </c>
      <c r="E298" s="50" t="n">
        <v>21</v>
      </c>
      <c r="F298" s="51">
        <f>E298*$B$5*(1+$B$6)</f>
        <v>27300</v>
      </c>
      <c r="G298" s="51">
        <f>F298*$B$7</f>
        <v>68250</v>
      </c>
      <c r="H298" s="51">
        <f>G298-F298</f>
        <v>40950</v>
      </c>
      <c r="I298" s="52">
        <f>H298/G298</f>
        <v>0.6</v>
      </c>
      <c r="J298" s="53" t="n"/>
      <c r="K298" s="54" t="n"/>
    </row>
    <row r="299">
      <c r="A299" s="39" t="inlineStr">
        <is>
          <t>Cacharel</t>
        </is>
      </c>
      <c r="B299" s="47" t="inlineStr">
        <is>
          <t>TESTER CACHAREL AMOR AMOR EDT 100ML FEM</t>
        </is>
      </c>
      <c r="C299" s="48" t="n">
        <v>100</v>
      </c>
      <c r="D299" s="49" t="inlineStr">
        <is>
          <t>Tester</t>
        </is>
      </c>
      <c r="E299" s="50" t="n">
        <v>25</v>
      </c>
      <c r="F299" s="51">
        <f>E299*$B$5*(1+$B$6)</f>
        <v>32500</v>
      </c>
      <c r="G299" s="51">
        <f>F299*$B$7</f>
        <v>81250</v>
      </c>
      <c r="H299" s="51">
        <f>G299-F299</f>
        <v>48750</v>
      </c>
      <c r="I299" s="52">
        <f>H299/G299</f>
        <v>0.6</v>
      </c>
      <c r="J299" s="53" t="n"/>
      <c r="K299" s="54" t="n"/>
    </row>
    <row r="300">
      <c r="A300" s="39" t="inlineStr">
        <is>
          <t>Cacharel</t>
        </is>
      </c>
      <c r="B300" s="47" t="inlineStr">
        <is>
          <t>TESTER CACHAREL ANAIS ANAIS EDT 100ML FEM</t>
        </is>
      </c>
      <c r="C300" s="48" t="n">
        <v>100</v>
      </c>
      <c r="D300" s="49" t="inlineStr">
        <is>
          <t>Tester</t>
        </is>
      </c>
      <c r="E300" s="50" t="n">
        <v>28.5</v>
      </c>
      <c r="F300" s="51">
        <f>E300*$B$5*(1+$B$6)</f>
        <v>37050</v>
      </c>
      <c r="G300" s="51">
        <f>F300*$B$7</f>
        <v>92625</v>
      </c>
      <c r="H300" s="51">
        <f>G300-F300</f>
        <v>55575</v>
      </c>
      <c r="I300" s="52">
        <f>H300/G300</f>
        <v>0.6</v>
      </c>
      <c r="J300" s="53" t="n"/>
      <c r="K300" s="54" t="n"/>
    </row>
    <row r="301">
      <c r="A301" s="39" t="inlineStr">
        <is>
          <t>Cacharel</t>
        </is>
      </c>
      <c r="B301" s="47" t="inlineStr">
        <is>
          <t>TESTER CACHAREL NOA EDT 100ML FEM</t>
        </is>
      </c>
      <c r="C301" s="48" t="n">
        <v>100</v>
      </c>
      <c r="D301" s="49" t="inlineStr">
        <is>
          <t>Tester</t>
        </is>
      </c>
      <c r="E301" s="50" t="n">
        <v>28.5</v>
      </c>
      <c r="F301" s="51">
        <f>E301*$B$5*(1+$B$6)</f>
        <v>37050</v>
      </c>
      <c r="G301" s="51">
        <f>F301*$B$7</f>
        <v>92625</v>
      </c>
      <c r="H301" s="51">
        <f>G301-F301</f>
        <v>55575</v>
      </c>
      <c r="I301" s="52">
        <f>H301/G301</f>
        <v>0.6</v>
      </c>
      <c r="J301" s="53" t="n"/>
      <c r="K301" s="54" t="n"/>
    </row>
    <row r="302">
      <c r="A302" s="39" t="inlineStr">
        <is>
          <t>Calvin Klein</t>
        </is>
      </c>
      <c r="B302" s="47" t="inlineStr">
        <is>
          <t>CALVIN KLEIN BEAUTY EDP 100M FEM</t>
        </is>
      </c>
      <c r="C302" s="48" t="n">
        <v>100</v>
      </c>
      <c r="D302" s="49" t="inlineStr">
        <is>
          <t>Diseñador</t>
        </is>
      </c>
      <c r="E302" s="50" t="n">
        <v>28</v>
      </c>
      <c r="F302" s="51">
        <f>E302*$B$5*(1+$B$6)</f>
        <v>36400</v>
      </c>
      <c r="G302" s="51">
        <f>F302*$B$7</f>
        <v>91000</v>
      </c>
      <c r="H302" s="51">
        <f>G302-F302</f>
        <v>54600</v>
      </c>
      <c r="I302" s="52">
        <f>H302/G302</f>
        <v>0.6</v>
      </c>
      <c r="J302" s="53" t="n"/>
      <c r="K302" s="54" t="n"/>
    </row>
    <row r="303">
      <c r="A303" s="39" t="inlineStr">
        <is>
          <t>Calvin Klein</t>
        </is>
      </c>
      <c r="B303" s="47" t="inlineStr">
        <is>
          <t>CALVIN KLEIN CK BE EDT 100ML</t>
        </is>
      </c>
      <c r="C303" s="48" t="n">
        <v>100</v>
      </c>
      <c r="D303" s="49" t="inlineStr">
        <is>
          <t>Diseñador</t>
        </is>
      </c>
      <c r="E303" s="50" t="n">
        <v>18</v>
      </c>
      <c r="F303" s="51">
        <f>E303*$B$5*(1+$B$6)</f>
        <v>23400</v>
      </c>
      <c r="G303" s="51">
        <f>F303*$B$7</f>
        <v>58500</v>
      </c>
      <c r="H303" s="51">
        <f>G303-F303</f>
        <v>35100</v>
      </c>
      <c r="I303" s="52">
        <f>H303/G303</f>
        <v>0.6</v>
      </c>
      <c r="J303" s="53" t="n"/>
      <c r="K303" s="54" t="n"/>
    </row>
    <row r="304">
      <c r="A304" s="39" t="inlineStr">
        <is>
          <t>Calvin Klein</t>
        </is>
      </c>
      <c r="B304" s="47" t="inlineStr">
        <is>
          <t>CALVIN KLEIN CK BE EDT 200ML</t>
        </is>
      </c>
      <c r="C304" s="48" t="n">
        <v>200</v>
      </c>
      <c r="D304" s="49" t="inlineStr">
        <is>
          <t>Diseñador</t>
        </is>
      </c>
      <c r="E304" s="50" t="n">
        <v>23</v>
      </c>
      <c r="F304" s="51">
        <f>E304*$B$5*(1+$B$6)</f>
        <v>29900</v>
      </c>
      <c r="G304" s="51">
        <f>F304*$B$7</f>
        <v>74750</v>
      </c>
      <c r="H304" s="51">
        <f>G304-F304</f>
        <v>44850</v>
      </c>
      <c r="I304" s="52">
        <f>H304/G304</f>
        <v>0.6</v>
      </c>
      <c r="J304" s="53" t="n"/>
      <c r="K304" s="54" t="n"/>
    </row>
    <row r="305">
      <c r="A305" s="39" t="inlineStr">
        <is>
          <t>Calvin Klein</t>
        </is>
      </c>
      <c r="B305" s="47" t="inlineStr">
        <is>
          <t>CALVIN KLEIN CK FREE FOR MEN EDT 100ML</t>
        </is>
      </c>
      <c r="C305" s="48" t="n">
        <v>100</v>
      </c>
      <c r="D305" s="49" t="inlineStr">
        <is>
          <t>Diseñador</t>
        </is>
      </c>
      <c r="E305" s="50" t="n">
        <v>19.5</v>
      </c>
      <c r="F305" s="51">
        <f>E305*$B$5*(1+$B$6)</f>
        <v>25350</v>
      </c>
      <c r="G305" s="51">
        <f>F305*$B$7</f>
        <v>63375</v>
      </c>
      <c r="H305" s="51">
        <f>G305-F305</f>
        <v>38025</v>
      </c>
      <c r="I305" s="52">
        <f>H305/G305</f>
        <v>0.6</v>
      </c>
      <c r="J305" s="53" t="n"/>
      <c r="K305" s="54" t="n"/>
    </row>
    <row r="306">
      <c r="A306" s="39" t="inlineStr">
        <is>
          <t>Calvin Klein</t>
        </is>
      </c>
      <c r="B306" s="47" t="inlineStr">
        <is>
          <t>CALVIN KLEIN CK IN2U EDT 100ML FEM</t>
        </is>
      </c>
      <c r="C306" s="48" t="n">
        <v>100</v>
      </c>
      <c r="D306" s="49" t="inlineStr">
        <is>
          <t>Diseñador</t>
        </is>
      </c>
      <c r="E306" s="50" t="n">
        <v>17.75</v>
      </c>
      <c r="F306" s="51">
        <f>E306*$B$5*(1+$B$6)</f>
        <v>23075</v>
      </c>
      <c r="G306" s="51">
        <f>F306*$B$7</f>
        <v>57687.5</v>
      </c>
      <c r="H306" s="51">
        <f>G306-F306</f>
        <v>34612.5</v>
      </c>
      <c r="I306" s="52">
        <f>H306/G306</f>
        <v>0.6</v>
      </c>
      <c r="J306" s="53" t="n"/>
      <c r="K306" s="54" t="n"/>
    </row>
    <row r="307">
      <c r="A307" s="39" t="inlineStr">
        <is>
          <t>Calvin Klein</t>
        </is>
      </c>
      <c r="B307" s="47" t="inlineStr">
        <is>
          <t>CALVIN KLEIN CK IN2U EDT 100ML MASC</t>
        </is>
      </c>
      <c r="C307" s="48" t="n">
        <v>100</v>
      </c>
      <c r="D307" s="49" t="inlineStr">
        <is>
          <t>Diseñador</t>
        </is>
      </c>
      <c r="E307" s="50" t="n">
        <v>17.5</v>
      </c>
      <c r="F307" s="51">
        <f>E307*$B$5*(1+$B$6)</f>
        <v>22750</v>
      </c>
      <c r="G307" s="51">
        <f>F307*$B$7</f>
        <v>56875</v>
      </c>
      <c r="H307" s="51">
        <f>G307-F307</f>
        <v>34125</v>
      </c>
      <c r="I307" s="52">
        <f>H307/G307</f>
        <v>0.6</v>
      </c>
      <c r="J307" s="53" t="n"/>
      <c r="K307" s="54" t="n"/>
    </row>
    <row r="308">
      <c r="A308" s="39" t="inlineStr">
        <is>
          <t>Calvin Klein</t>
        </is>
      </c>
      <c r="B308" s="47" t="inlineStr">
        <is>
          <t>CALVIN KLEIN CK IN2U EDT 150ML FEM</t>
        </is>
      </c>
      <c r="C308" s="48" t="n">
        <v>150</v>
      </c>
      <c r="D308" s="49" t="inlineStr">
        <is>
          <t>Diseñador</t>
        </is>
      </c>
      <c r="E308" s="50" t="n">
        <v>24</v>
      </c>
      <c r="F308" s="51">
        <f>E308*$B$5*(1+$B$6)</f>
        <v>31200</v>
      </c>
      <c r="G308" s="51">
        <f>F308*$B$7</f>
        <v>78000</v>
      </c>
      <c r="H308" s="51">
        <f>G308-F308</f>
        <v>46800</v>
      </c>
      <c r="I308" s="52">
        <f>H308/G308</f>
        <v>0.6</v>
      </c>
      <c r="J308" s="53" t="n"/>
      <c r="K308" s="54" t="n"/>
    </row>
    <row r="309">
      <c r="A309" s="39" t="inlineStr">
        <is>
          <t>Calvin Klein</t>
        </is>
      </c>
      <c r="B309" s="47" t="inlineStr">
        <is>
          <t>CALVIN KLEIN CK ONE EDT 100ML</t>
        </is>
      </c>
      <c r="C309" s="48" t="n">
        <v>100</v>
      </c>
      <c r="D309" s="49" t="inlineStr">
        <is>
          <t>Diseñador</t>
        </is>
      </c>
      <c r="E309" s="50" t="n">
        <v>21</v>
      </c>
      <c r="F309" s="51">
        <f>E309*$B$5*(1+$B$6)</f>
        <v>27300</v>
      </c>
      <c r="G309" s="51">
        <f>F309*$B$7</f>
        <v>68250</v>
      </c>
      <c r="H309" s="51">
        <f>G309-F309</f>
        <v>40950</v>
      </c>
      <c r="I309" s="52">
        <f>H309/G309</f>
        <v>0.6</v>
      </c>
      <c r="J309" s="53" t="n"/>
      <c r="K309" s="54" t="n"/>
    </row>
    <row r="310">
      <c r="A310" s="39" t="inlineStr">
        <is>
          <t>Calvin Klein</t>
        </is>
      </c>
      <c r="B310" s="47" t="inlineStr">
        <is>
          <t>CALVIN KLEIN CK ONE EDT 200ML</t>
        </is>
      </c>
      <c r="C310" s="48" t="n">
        <v>200</v>
      </c>
      <c r="D310" s="49" t="inlineStr">
        <is>
          <t>Diseñador</t>
        </is>
      </c>
      <c r="E310" s="50" t="n">
        <v>26.45</v>
      </c>
      <c r="F310" s="51">
        <f>E310*$B$5*(1+$B$6)</f>
        <v>34385</v>
      </c>
      <c r="G310" s="51">
        <f>F310*$B$7</f>
        <v>85962.5</v>
      </c>
      <c r="H310" s="51">
        <f>G310-F310</f>
        <v>51577.5</v>
      </c>
      <c r="I310" s="52">
        <f>H310/G310</f>
        <v>0.6</v>
      </c>
      <c r="J310" s="53" t="n"/>
      <c r="K310" s="54" t="n"/>
    </row>
    <row r="311">
      <c r="A311" s="39" t="inlineStr">
        <is>
          <t>Calvin Klein</t>
        </is>
      </c>
      <c r="B311" s="47" t="inlineStr">
        <is>
          <t>CALVIN KLEIN CK ONE SHOCK EDT 100ML FEM</t>
        </is>
      </c>
      <c r="C311" s="48" t="n">
        <v>100</v>
      </c>
      <c r="D311" s="49" t="inlineStr">
        <is>
          <t>Diseñador</t>
        </is>
      </c>
      <c r="E311" s="50" t="n">
        <v>19</v>
      </c>
      <c r="F311" s="51">
        <f>E311*$B$5*(1+$B$6)</f>
        <v>24700</v>
      </c>
      <c r="G311" s="51">
        <f>F311*$B$7</f>
        <v>61750</v>
      </c>
      <c r="H311" s="51">
        <f>G311-F311</f>
        <v>37050</v>
      </c>
      <c r="I311" s="52">
        <f>H311/G311</f>
        <v>0.6</v>
      </c>
      <c r="J311" s="53" t="n"/>
      <c r="K311" s="54" t="n"/>
    </row>
    <row r="312">
      <c r="A312" s="39" t="inlineStr">
        <is>
          <t>Calvin Klein</t>
        </is>
      </c>
      <c r="B312" s="47" t="inlineStr">
        <is>
          <t>CALVIN KLEIN CK ONE SHOCK EDT 100ML MASC</t>
        </is>
      </c>
      <c r="C312" s="48" t="n">
        <v>100</v>
      </c>
      <c r="D312" s="49" t="inlineStr">
        <is>
          <t>Diseñador</t>
        </is>
      </c>
      <c r="E312" s="50" t="n">
        <v>21.5</v>
      </c>
      <c r="F312" s="51">
        <f>E312*$B$5*(1+$B$6)</f>
        <v>27950</v>
      </c>
      <c r="G312" s="51">
        <f>F312*$B$7</f>
        <v>69875</v>
      </c>
      <c r="H312" s="51">
        <f>G312-F312</f>
        <v>41925</v>
      </c>
      <c r="I312" s="52">
        <f>H312/G312</f>
        <v>0.6</v>
      </c>
      <c r="J312" s="53" t="n"/>
      <c r="K312" s="54" t="n"/>
    </row>
    <row r="313">
      <c r="A313" s="39" t="inlineStr">
        <is>
          <t>Calvin Klein</t>
        </is>
      </c>
      <c r="B313" s="47" t="inlineStr">
        <is>
          <t>CALVIN KLEIN CK ONE SHOCK EDT 200ML FEM</t>
        </is>
      </c>
      <c r="C313" s="48" t="n">
        <v>200</v>
      </c>
      <c r="D313" s="49" t="inlineStr">
        <is>
          <t>Diseñador</t>
        </is>
      </c>
      <c r="E313" s="50" t="n">
        <v>22.75</v>
      </c>
      <c r="F313" s="51">
        <f>E313*$B$5*(1+$B$6)</f>
        <v>29575</v>
      </c>
      <c r="G313" s="51">
        <f>F313*$B$7</f>
        <v>73937.5</v>
      </c>
      <c r="H313" s="51">
        <f>G313-F313</f>
        <v>44362.5</v>
      </c>
      <c r="I313" s="52">
        <f>H313/G313</f>
        <v>0.6</v>
      </c>
      <c r="J313" s="53" t="n"/>
      <c r="K313" s="54" t="n"/>
    </row>
    <row r="314">
      <c r="A314" s="39" t="inlineStr">
        <is>
          <t>Calvin Klein</t>
        </is>
      </c>
      <c r="B314" s="47" t="inlineStr">
        <is>
          <t>CALVIN KLEIN CK ONE VIVA LOVE PARFUM INTENSE 100ML</t>
        </is>
      </c>
      <c r="C314" s="48" t="n">
        <v>100</v>
      </c>
      <c r="D314" s="49" t="inlineStr">
        <is>
          <t>Diseñador</t>
        </is>
      </c>
      <c r="E314" s="50" t="n">
        <v>35</v>
      </c>
      <c r="F314" s="51">
        <f>E314*$B$5*(1+$B$6)</f>
        <v>45500</v>
      </c>
      <c r="G314" s="51">
        <f>F314*$B$7</f>
        <v>113750</v>
      </c>
      <c r="H314" s="51">
        <f>G314-F314</f>
        <v>68250</v>
      </c>
      <c r="I314" s="52">
        <f>H314/G314</f>
        <v>0.6</v>
      </c>
      <c r="J314" s="53" t="n"/>
      <c r="K314" s="54" t="n"/>
    </row>
    <row r="315">
      <c r="A315" s="39" t="inlineStr">
        <is>
          <t>Calvin Klein</t>
        </is>
      </c>
      <c r="B315" s="47" t="inlineStr">
        <is>
          <t>CALVIN KLEIN ESCAPE EDP FEMININO 100ML</t>
        </is>
      </c>
      <c r="C315" s="48" t="n">
        <v>100</v>
      </c>
      <c r="D315" s="49" t="inlineStr">
        <is>
          <t>Diseñador</t>
        </is>
      </c>
      <c r="E315" s="50" t="n">
        <v>22.5</v>
      </c>
      <c r="F315" s="51">
        <f>E315*$B$5*(1+$B$6)</f>
        <v>29250</v>
      </c>
      <c r="G315" s="51">
        <f>F315*$B$7</f>
        <v>73125</v>
      </c>
      <c r="H315" s="51">
        <f>G315-F315</f>
        <v>43875</v>
      </c>
      <c r="I315" s="52">
        <f>H315/G315</f>
        <v>0.6</v>
      </c>
      <c r="J315" s="53" t="n"/>
      <c r="K315" s="54" t="n"/>
    </row>
    <row r="316">
      <c r="A316" s="39" t="inlineStr">
        <is>
          <t>Calvin Klein</t>
        </is>
      </c>
      <c r="B316" s="47" t="inlineStr">
        <is>
          <t>CALVIN KLEIN ESCAPE FOR MEN EDT MASCULINO 100ML</t>
        </is>
      </c>
      <c r="C316" s="48" t="n">
        <v>100</v>
      </c>
      <c r="D316" s="49" t="inlineStr">
        <is>
          <t>Diseñador</t>
        </is>
      </c>
      <c r="E316" s="50" t="n">
        <v>22.5</v>
      </c>
      <c r="F316" s="51">
        <f>E316*$B$5*(1+$B$6)</f>
        <v>29250</v>
      </c>
      <c r="G316" s="51">
        <f>F316*$B$7</f>
        <v>73125</v>
      </c>
      <c r="H316" s="51">
        <f>G316-F316</f>
        <v>43875</v>
      </c>
      <c r="I316" s="52">
        <f>H316/G316</f>
        <v>0.6</v>
      </c>
      <c r="J316" s="53" t="n"/>
      <c r="K316" s="54" t="n"/>
    </row>
    <row r="317">
      <c r="A317" s="39" t="inlineStr">
        <is>
          <t>Calvin Klein</t>
        </is>
      </c>
      <c r="B317" s="47" t="inlineStr">
        <is>
          <t>CALVIN KLEIN ETERNITY AIR EDP 100ML FEM</t>
        </is>
      </c>
      <c r="C317" s="48" t="n">
        <v>100</v>
      </c>
      <c r="D317" s="49" t="inlineStr">
        <is>
          <t>Diseñador</t>
        </is>
      </c>
      <c r="E317" s="50" t="n">
        <v>25</v>
      </c>
      <c r="F317" s="51">
        <f>E317*$B$5*(1+$B$6)</f>
        <v>32500</v>
      </c>
      <c r="G317" s="51">
        <f>F317*$B$7</f>
        <v>81250</v>
      </c>
      <c r="H317" s="51">
        <f>G317-F317</f>
        <v>48750</v>
      </c>
      <c r="I317" s="52">
        <f>H317/G317</f>
        <v>0.6</v>
      </c>
      <c r="J317" s="53" t="n"/>
      <c r="K317" s="54" t="n"/>
    </row>
    <row r="318">
      <c r="A318" s="39" t="inlineStr">
        <is>
          <t>Calvin Klein</t>
        </is>
      </c>
      <c r="B318" s="47" t="inlineStr">
        <is>
          <t>CALVIN KLEIN ETERNITY AQUA EDT 100ML MASC</t>
        </is>
      </c>
      <c r="C318" s="48" t="n">
        <v>100</v>
      </c>
      <c r="D318" s="49" t="inlineStr">
        <is>
          <t>Diseñador</t>
        </is>
      </c>
      <c r="E318" s="50" t="n">
        <v>29</v>
      </c>
      <c r="F318" s="51">
        <f>E318*$B$5*(1+$B$6)</f>
        <v>37700</v>
      </c>
      <c r="G318" s="51">
        <f>F318*$B$7</f>
        <v>94250</v>
      </c>
      <c r="H318" s="51">
        <f>G318-F318</f>
        <v>56550</v>
      </c>
      <c r="I318" s="52">
        <f>H318/G318</f>
        <v>0.6</v>
      </c>
      <c r="J318" s="53" t="n"/>
      <c r="K318" s="54" t="n"/>
    </row>
    <row r="319">
      <c r="A319" s="39" t="inlineStr">
        <is>
          <t>Calvin Klein</t>
        </is>
      </c>
      <c r="B319" s="47" t="inlineStr">
        <is>
          <t>CALVIN KLEIN ETERNITY FLAME EDT 100ML MASC</t>
        </is>
      </c>
      <c r="C319" s="48" t="n">
        <v>100</v>
      </c>
      <c r="D319" s="49" t="inlineStr">
        <is>
          <t>Diseñador</t>
        </is>
      </c>
      <c r="E319" s="50" t="n">
        <v>23.5</v>
      </c>
      <c r="F319" s="51">
        <f>E319*$B$5*(1+$B$6)</f>
        <v>30550</v>
      </c>
      <c r="G319" s="51">
        <f>F319*$B$7</f>
        <v>76375</v>
      </c>
      <c r="H319" s="51">
        <f>G319-F319</f>
        <v>45825</v>
      </c>
      <c r="I319" s="52">
        <f>H319/G319</f>
        <v>0.6</v>
      </c>
      <c r="J319" s="53" t="n"/>
      <c r="K319" s="54" t="n"/>
    </row>
    <row r="320">
      <c r="A320" s="39" t="inlineStr">
        <is>
          <t>Calvin Klein</t>
        </is>
      </c>
      <c r="B320" s="47" t="inlineStr">
        <is>
          <t>CALVIN KLEIN ETERNITY FOR MEN EDT 100ML</t>
        </is>
      </c>
      <c r="C320" s="48" t="n">
        <v>100</v>
      </c>
      <c r="D320" s="49" t="inlineStr">
        <is>
          <t>Diseñador</t>
        </is>
      </c>
      <c r="E320" s="50" t="n">
        <v>30</v>
      </c>
      <c r="F320" s="51">
        <f>E320*$B$5*(1+$B$6)</f>
        <v>39000</v>
      </c>
      <c r="G320" s="51">
        <f>F320*$B$7</f>
        <v>97500</v>
      </c>
      <c r="H320" s="51">
        <f>G320-F320</f>
        <v>58500</v>
      </c>
      <c r="I320" s="52">
        <f>H320/G320</f>
        <v>0.6</v>
      </c>
      <c r="J320" s="53" t="n"/>
      <c r="K320" s="54" t="n"/>
    </row>
    <row r="321">
      <c r="A321" s="39" t="inlineStr">
        <is>
          <t>Calvin Klein</t>
        </is>
      </c>
      <c r="B321" s="47" t="inlineStr">
        <is>
          <t>CALVIN KLEIN ETERNITY FOR MEN EDT 200ML</t>
        </is>
      </c>
      <c r="C321" s="48" t="n">
        <v>200</v>
      </c>
      <c r="D321" s="49" t="inlineStr">
        <is>
          <t>Diseñador</t>
        </is>
      </c>
      <c r="E321" s="50" t="n">
        <v>42</v>
      </c>
      <c r="F321" s="51">
        <f>E321*$B$5*(1+$B$6)</f>
        <v>54600</v>
      </c>
      <c r="G321" s="51">
        <f>F321*$B$7</f>
        <v>136500</v>
      </c>
      <c r="H321" s="51">
        <f>G321-F321</f>
        <v>81900</v>
      </c>
      <c r="I321" s="52">
        <f>H321/G321</f>
        <v>0.6</v>
      </c>
      <c r="J321" s="53" t="n"/>
      <c r="K321" s="54" t="n"/>
    </row>
    <row r="322">
      <c r="A322" s="39" t="inlineStr">
        <is>
          <t>Calvin Klein</t>
        </is>
      </c>
      <c r="B322" s="47" t="inlineStr">
        <is>
          <t>CALVIN KLEIN ETERNITY FOR MEN PARFUM 100ML</t>
        </is>
      </c>
      <c r="C322" s="48" t="n">
        <v>100</v>
      </c>
      <c r="D322" s="49" t="inlineStr">
        <is>
          <t>Diseñador</t>
        </is>
      </c>
      <c r="E322" s="50" t="n">
        <v>49.5</v>
      </c>
      <c r="F322" s="51">
        <f>E322*$B$5*(1+$B$6)</f>
        <v>64350</v>
      </c>
      <c r="G322" s="51">
        <f>F322*$B$7</f>
        <v>160875</v>
      </c>
      <c r="H322" s="51">
        <f>G322-F322</f>
        <v>96525</v>
      </c>
      <c r="I322" s="52">
        <f>H322/G322</f>
        <v>0.6</v>
      </c>
      <c r="J322" s="53" t="n"/>
      <c r="K322" s="54" t="n"/>
    </row>
    <row r="323">
      <c r="A323" s="39" t="inlineStr">
        <is>
          <t>Calvin Klein</t>
        </is>
      </c>
      <c r="B323" s="47" t="inlineStr">
        <is>
          <t>CALVIN KLEIN ETERNITY MOMENT EDP 100ML FEM</t>
        </is>
      </c>
      <c r="C323" s="48" t="n">
        <v>100</v>
      </c>
      <c r="D323" s="49" t="inlineStr">
        <is>
          <t>Diseñador</t>
        </is>
      </c>
      <c r="E323" s="50" t="n">
        <v>28.5</v>
      </c>
      <c r="F323" s="51">
        <f>E323*$B$5*(1+$B$6)</f>
        <v>37050</v>
      </c>
      <c r="G323" s="51">
        <f>F323*$B$7</f>
        <v>92625</v>
      </c>
      <c r="H323" s="51">
        <f>G323-F323</f>
        <v>55575</v>
      </c>
      <c r="I323" s="52">
        <f>H323/G323</f>
        <v>0.6</v>
      </c>
      <c r="J323" s="53" t="n"/>
      <c r="K323" s="54" t="n"/>
    </row>
    <row r="324">
      <c r="A324" s="39" t="inlineStr">
        <is>
          <t>Calvin Klein</t>
        </is>
      </c>
      <c r="B324" s="47" t="inlineStr">
        <is>
          <t>CALVIN KLEIN EUPHORIA BOLD ELIXIR PARFUM INTENSE 100ML FEM</t>
        </is>
      </c>
      <c r="C324" s="48" t="n">
        <v>100</v>
      </c>
      <c r="D324" s="49" t="inlineStr">
        <is>
          <t>Diseñador</t>
        </is>
      </c>
      <c r="E324" s="50" t="n">
        <v>55</v>
      </c>
      <c r="F324" s="51">
        <f>E324*$B$5*(1+$B$6)</f>
        <v>71500</v>
      </c>
      <c r="G324" s="51">
        <f>F324*$B$7</f>
        <v>178750</v>
      </c>
      <c r="H324" s="51">
        <f>G324-F324</f>
        <v>107250</v>
      </c>
      <c r="I324" s="52">
        <f>H324/G324</f>
        <v>0.6</v>
      </c>
      <c r="J324" s="53" t="n"/>
      <c r="K324" s="54" t="n"/>
    </row>
    <row r="325">
      <c r="A325" s="39" t="inlineStr">
        <is>
          <t>Calvin Klein</t>
        </is>
      </c>
      <c r="B325" s="47" t="inlineStr">
        <is>
          <t>CALVIN KLEIN EUPHORIA EDP 160ML FEM</t>
        </is>
      </c>
      <c r="C325" s="48" t="n">
        <v>160</v>
      </c>
      <c r="D325" s="49" t="inlineStr">
        <is>
          <t>Diseñador</t>
        </is>
      </c>
      <c r="E325" s="50" t="n">
        <v>46.5</v>
      </c>
      <c r="F325" s="51">
        <f>E325*$B$5*(1+$B$6)</f>
        <v>60450</v>
      </c>
      <c r="G325" s="51">
        <f>F325*$B$7</f>
        <v>151125</v>
      </c>
      <c r="H325" s="51">
        <f>G325-F325</f>
        <v>90675</v>
      </c>
      <c r="I325" s="52">
        <f>H325/G325</f>
        <v>0.6</v>
      </c>
      <c r="J325" s="53" t="n"/>
      <c r="K325" s="54" t="n"/>
    </row>
    <row r="326">
      <c r="A326" s="39" t="inlineStr">
        <is>
          <t>Calvin Klein</t>
        </is>
      </c>
      <c r="B326" s="47" t="inlineStr">
        <is>
          <t>CALVIN KLEIN EUPHORIA EDP 50ML FEM</t>
        </is>
      </c>
      <c r="C326" s="48" t="n">
        <v>50</v>
      </c>
      <c r="D326" s="49" t="inlineStr">
        <is>
          <t>Diseñador</t>
        </is>
      </c>
      <c r="E326" s="50" t="n">
        <v>30.5</v>
      </c>
      <c r="F326" s="51">
        <f>E326*$B$5*(1+$B$6)</f>
        <v>39650</v>
      </c>
      <c r="G326" s="51">
        <f>F326*$B$7</f>
        <v>99125</v>
      </c>
      <c r="H326" s="51">
        <f>G326-F326</f>
        <v>59475</v>
      </c>
      <c r="I326" s="52">
        <f>H326/G326</f>
        <v>0.6</v>
      </c>
      <c r="J326" s="53" t="n"/>
      <c r="K326" s="54" t="n"/>
    </row>
    <row r="327">
      <c r="A327" s="39" t="inlineStr">
        <is>
          <t>Calvin Klein</t>
        </is>
      </c>
      <c r="B327" s="47" t="inlineStr">
        <is>
          <t>CALVIN KLEIN EUPHORIA MAGNETIC ELIXIR PARFUM INTENSE 100ML FEM</t>
        </is>
      </c>
      <c r="C327" s="48" t="n">
        <v>100</v>
      </c>
      <c r="D327" s="49" t="inlineStr">
        <is>
          <t>Diseñador</t>
        </is>
      </c>
      <c r="E327" s="50" t="n">
        <v>55</v>
      </c>
      <c r="F327" s="51">
        <f>E327*$B$5*(1+$B$6)</f>
        <v>71500</v>
      </c>
      <c r="G327" s="51">
        <f>F327*$B$7</f>
        <v>178750</v>
      </c>
      <c r="H327" s="51">
        <f>G327-F327</f>
        <v>107250</v>
      </c>
      <c r="I327" s="52">
        <f>H327/G327</f>
        <v>0.6</v>
      </c>
      <c r="J327" s="53" t="n"/>
      <c r="K327" s="54" t="n"/>
    </row>
    <row r="328">
      <c r="A328" s="39" t="inlineStr">
        <is>
          <t>Calvin Klein</t>
        </is>
      </c>
      <c r="B328" s="47" t="inlineStr">
        <is>
          <t>CALVIN KLEIN EUPHORIA MEN EDT 100ML MASC</t>
        </is>
      </c>
      <c r="C328" s="48" t="n">
        <v>100</v>
      </c>
      <c r="D328" s="49" t="inlineStr">
        <is>
          <t>Diseñador</t>
        </is>
      </c>
      <c r="E328" s="50" t="n">
        <v>28</v>
      </c>
      <c r="F328" s="51">
        <f>E328*$B$5*(1+$B$6)</f>
        <v>36400</v>
      </c>
      <c r="G328" s="51">
        <f>F328*$B$7</f>
        <v>91000</v>
      </c>
      <c r="H328" s="51">
        <f>G328-F328</f>
        <v>54600</v>
      </c>
      <c r="I328" s="52">
        <f>H328/G328</f>
        <v>0.6</v>
      </c>
      <c r="J328" s="53" t="n"/>
      <c r="K328" s="54" t="n"/>
    </row>
    <row r="329">
      <c r="A329" s="39" t="inlineStr">
        <is>
          <t>Calvin Klein</t>
        </is>
      </c>
      <c r="B329" s="47" t="inlineStr">
        <is>
          <t>CALVIN KLEIN EVERYONE EDT 50ML</t>
        </is>
      </c>
      <c r="C329" s="48" t="n">
        <v>50</v>
      </c>
      <c r="D329" s="49" t="inlineStr">
        <is>
          <t>Diseñador</t>
        </is>
      </c>
      <c r="E329" s="50" t="n">
        <v>19</v>
      </c>
      <c r="F329" s="51">
        <f>E329*$B$5*(1+$B$6)</f>
        <v>24700</v>
      </c>
      <c r="G329" s="51">
        <f>F329*$B$7</f>
        <v>61750</v>
      </c>
      <c r="H329" s="51">
        <f>G329-F329</f>
        <v>37050</v>
      </c>
      <c r="I329" s="52">
        <f>H329/G329</f>
        <v>0.6</v>
      </c>
      <c r="J329" s="53" t="n"/>
      <c r="K329" s="54" t="n"/>
    </row>
    <row r="330">
      <c r="A330" s="39" t="inlineStr">
        <is>
          <t>Calvin Klein</t>
        </is>
      </c>
      <c r="B330" s="47" t="inlineStr">
        <is>
          <t>CALVIN KLEIN MAN EDT 100ML</t>
        </is>
      </c>
      <c r="C330" s="48" t="n">
        <v>100</v>
      </c>
      <c r="D330" s="49" t="inlineStr">
        <is>
          <t>Diseñador</t>
        </is>
      </c>
      <c r="E330" s="50" t="n">
        <v>25</v>
      </c>
      <c r="F330" s="51">
        <f>E330*$B$5*(1+$B$6)</f>
        <v>32500</v>
      </c>
      <c r="G330" s="51">
        <f>F330*$B$7</f>
        <v>81250</v>
      </c>
      <c r="H330" s="51">
        <f>G330-F330</f>
        <v>48750</v>
      </c>
      <c r="I330" s="52">
        <f>H330/G330</f>
        <v>0.6</v>
      </c>
      <c r="J330" s="53" t="n"/>
      <c r="K330" s="54" t="n"/>
    </row>
    <row r="331">
      <c r="A331" s="39" t="inlineStr">
        <is>
          <t>Calvin Klein</t>
        </is>
      </c>
      <c r="B331" s="47" t="inlineStr">
        <is>
          <t>CALVIN KLEIN OBSESSION EDP 100ML FEM</t>
        </is>
      </c>
      <c r="C331" s="48" t="n">
        <v>100</v>
      </c>
      <c r="D331" s="49" t="inlineStr">
        <is>
          <t>Diseñador</t>
        </is>
      </c>
      <c r="E331" s="50" t="n">
        <v>25</v>
      </c>
      <c r="F331" s="51">
        <f>E331*$B$5*(1+$B$6)</f>
        <v>32500</v>
      </c>
      <c r="G331" s="51">
        <f>F331*$B$7</f>
        <v>81250</v>
      </c>
      <c r="H331" s="51">
        <f>G331-F331</f>
        <v>48750</v>
      </c>
      <c r="I331" s="52">
        <f>H331/G331</f>
        <v>0.6</v>
      </c>
      <c r="J331" s="53" t="n"/>
      <c r="K331" s="54" t="n"/>
    </row>
    <row r="332">
      <c r="A332" s="39" t="inlineStr">
        <is>
          <t>Calvin Klein</t>
        </is>
      </c>
      <c r="B332" s="47" t="inlineStr">
        <is>
          <t>CALVIN KLEIN OBSESSION FOR MEN EDT 125ML</t>
        </is>
      </c>
      <c r="C332" s="48" t="n">
        <v>125</v>
      </c>
      <c r="D332" s="49" t="inlineStr">
        <is>
          <t>Diseñador</t>
        </is>
      </c>
      <c r="E332" s="50" t="n">
        <v>23</v>
      </c>
      <c r="F332" s="51">
        <f>E332*$B$5*(1+$B$6)</f>
        <v>29900</v>
      </c>
      <c r="G332" s="51">
        <f>F332*$B$7</f>
        <v>74750</v>
      </c>
      <c r="H332" s="51">
        <f>G332-F332</f>
        <v>44850</v>
      </c>
      <c r="I332" s="52">
        <f>H332/G332</f>
        <v>0.6</v>
      </c>
      <c r="J332" s="53" t="n"/>
      <c r="K332" s="54" t="n"/>
    </row>
    <row r="333">
      <c r="A333" s="39" t="inlineStr">
        <is>
          <t>Calvin Klein</t>
        </is>
      </c>
      <c r="B333" s="47" t="inlineStr">
        <is>
          <t>TESTER CALVIN KLEIN BEAUTY EDP 100ML FEM</t>
        </is>
      </c>
      <c r="C333" s="48" t="n">
        <v>100</v>
      </c>
      <c r="D333" s="49" t="inlineStr">
        <is>
          <t>Tester</t>
        </is>
      </c>
      <c r="E333" s="50" t="n">
        <v>28</v>
      </c>
      <c r="F333" s="51">
        <f>E333*$B$5*(1+$B$6)</f>
        <v>36400</v>
      </c>
      <c r="G333" s="51">
        <f>F333*$B$7</f>
        <v>91000</v>
      </c>
      <c r="H333" s="51">
        <f>G333-F333</f>
        <v>54600</v>
      </c>
      <c r="I333" s="52">
        <f>H333/G333</f>
        <v>0.6</v>
      </c>
      <c r="J333" s="53" t="n"/>
      <c r="K333" s="54" t="n"/>
    </row>
    <row r="334">
      <c r="A334" s="39" t="inlineStr">
        <is>
          <t>Calvin Klein</t>
        </is>
      </c>
      <c r="B334" s="47" t="inlineStr">
        <is>
          <t>TESTER CALVIN KLEIN CK BE EDT 100ML</t>
        </is>
      </c>
      <c r="C334" s="48" t="n">
        <v>100</v>
      </c>
      <c r="D334" s="49" t="inlineStr">
        <is>
          <t>Tester</t>
        </is>
      </c>
      <c r="E334" s="50" t="n">
        <v>17</v>
      </c>
      <c r="F334" s="51">
        <f>E334*$B$5*(1+$B$6)</f>
        <v>22100</v>
      </c>
      <c r="G334" s="51">
        <f>F334*$B$7</f>
        <v>55250</v>
      </c>
      <c r="H334" s="51">
        <f>G334-F334</f>
        <v>33150</v>
      </c>
      <c r="I334" s="52">
        <f>H334/G334</f>
        <v>0.6</v>
      </c>
      <c r="J334" s="53" t="n"/>
      <c r="K334" s="54" t="n"/>
    </row>
    <row r="335">
      <c r="A335" s="39" t="inlineStr">
        <is>
          <t>Calvin Klein</t>
        </is>
      </c>
      <c r="B335" s="47" t="inlineStr">
        <is>
          <t>TESTER CALVIN KLEIN ETERNITY EDP 100ML FEM</t>
        </is>
      </c>
      <c r="C335" s="48" t="n">
        <v>100</v>
      </c>
      <c r="D335" s="49" t="inlineStr">
        <is>
          <t>Tester</t>
        </is>
      </c>
      <c r="E335" s="50" t="n">
        <v>28</v>
      </c>
      <c r="F335" s="51">
        <f>E335*$B$5*(1+$B$6)</f>
        <v>36400</v>
      </c>
      <c r="G335" s="51">
        <f>F335*$B$7</f>
        <v>91000</v>
      </c>
      <c r="H335" s="51">
        <f>G335-F335</f>
        <v>54600</v>
      </c>
      <c r="I335" s="52">
        <f>H335/G335</f>
        <v>0.6</v>
      </c>
      <c r="J335" s="53" t="n"/>
      <c r="K335" s="54" t="n"/>
    </row>
    <row r="336">
      <c r="A336" s="39" t="inlineStr">
        <is>
          <t>Calvin Klein</t>
        </is>
      </c>
      <c r="B336" s="47" t="inlineStr">
        <is>
          <t>TESTER CALVIN KLEIN EUPHORIA EDP 100ML FEM S/T</t>
        </is>
      </c>
      <c r="C336" s="48" t="n">
        <v>100</v>
      </c>
      <c r="D336" s="49" t="inlineStr">
        <is>
          <t>Tester</t>
        </is>
      </c>
      <c r="E336" s="50" t="n">
        <v>29</v>
      </c>
      <c r="F336" s="51">
        <f>E336*$B$5*(1+$B$6)</f>
        <v>37700</v>
      </c>
      <c r="G336" s="51">
        <f>F336*$B$7</f>
        <v>94250</v>
      </c>
      <c r="H336" s="51">
        <f>G336-F336</f>
        <v>56550</v>
      </c>
      <c r="I336" s="52">
        <f>H336/G336</f>
        <v>0.6</v>
      </c>
      <c r="J336" s="53" t="n"/>
      <c r="K336" s="54" t="n"/>
    </row>
    <row r="337">
      <c r="A337" s="39" t="inlineStr">
        <is>
          <t>Carolina Herrera</t>
        </is>
      </c>
      <c r="B337" s="47" t="inlineStr">
        <is>
          <t>CAROLINA HERRERA 212 HEROES LAUNDRY COLLECTOR EDITION EDP 80ML FEM</t>
        </is>
      </c>
      <c r="C337" s="48" t="n">
        <v>80</v>
      </c>
      <c r="D337" s="49" t="inlineStr">
        <is>
          <t>Diseñador</t>
        </is>
      </c>
      <c r="E337" s="50" t="n">
        <v>72.5</v>
      </c>
      <c r="F337" s="51">
        <f>E337*$B$5*(1+$B$6)</f>
        <v>94250</v>
      </c>
      <c r="G337" s="51">
        <f>F337*$B$7</f>
        <v>235625</v>
      </c>
      <c r="H337" s="51">
        <f>G337-F337</f>
        <v>141375</v>
      </c>
      <c r="I337" s="52">
        <f>H337/G337</f>
        <v>0.6</v>
      </c>
      <c r="J337" s="53" t="n"/>
      <c r="K337" s="54" t="n"/>
    </row>
    <row r="338">
      <c r="A338" s="39" t="inlineStr">
        <is>
          <t>Carolina Herrera</t>
        </is>
      </c>
      <c r="B338" s="47" t="inlineStr">
        <is>
          <t>CAROLINA HERRERA 212 HEROES MEN FOREVER YOUNG EDT 90ML MASC</t>
        </is>
      </c>
      <c r="C338" s="48" t="n">
        <v>90</v>
      </c>
      <c r="D338" s="49" t="inlineStr">
        <is>
          <t>Diseñador</t>
        </is>
      </c>
      <c r="E338" s="50" t="n">
        <v>65</v>
      </c>
      <c r="F338" s="51">
        <f>E338*$B$5*(1+$B$6)</f>
        <v>84500</v>
      </c>
      <c r="G338" s="51">
        <f>F338*$B$7</f>
        <v>211250</v>
      </c>
      <c r="H338" s="51">
        <f>G338-F338</f>
        <v>126750</v>
      </c>
      <c r="I338" s="52">
        <f>H338/G338</f>
        <v>0.6</v>
      </c>
      <c r="J338" s="53" t="n"/>
      <c r="K338" s="54" t="n"/>
    </row>
    <row r="339">
      <c r="A339" s="39" t="inlineStr">
        <is>
          <t>Carolina Herrera</t>
        </is>
      </c>
      <c r="B339" s="47" t="inlineStr">
        <is>
          <t>CAROLINA HERRERA 212 MEN HEROES MTV EDT 90ML</t>
        </is>
      </c>
      <c r="C339" s="48" t="n">
        <v>90</v>
      </c>
      <c r="D339" s="49" t="inlineStr">
        <is>
          <t>Diseñador</t>
        </is>
      </c>
      <c r="E339" s="50" t="n">
        <v>74</v>
      </c>
      <c r="F339" s="51">
        <f>E339*$B$5*(1+$B$6)</f>
        <v>96200</v>
      </c>
      <c r="G339" s="51">
        <f>F339*$B$7</f>
        <v>240500</v>
      </c>
      <c r="H339" s="51">
        <f>G339-F339</f>
        <v>144300</v>
      </c>
      <c r="I339" s="52">
        <f>H339/G339</f>
        <v>0.6</v>
      </c>
      <c r="J339" s="53" t="n"/>
      <c r="K339" s="54" t="n"/>
    </row>
    <row r="340">
      <c r="A340" s="39" t="inlineStr">
        <is>
          <t>Carolina Herrera</t>
        </is>
      </c>
      <c r="B340" s="47" t="inlineStr">
        <is>
          <t>CAROLINA HERRERA 212 MEN NYC EDT 100ML MASC</t>
        </is>
      </c>
      <c r="C340" s="48" t="n">
        <v>100</v>
      </c>
      <c r="D340" s="49" t="inlineStr">
        <is>
          <t>Diseñador</t>
        </is>
      </c>
      <c r="E340" s="50" t="n">
        <v>57</v>
      </c>
      <c r="F340" s="51">
        <f>E340*$B$5*(1+$B$6)</f>
        <v>74100</v>
      </c>
      <c r="G340" s="51">
        <f>F340*$B$7</f>
        <v>185250</v>
      </c>
      <c r="H340" s="51">
        <f>G340-F340</f>
        <v>111150</v>
      </c>
      <c r="I340" s="52">
        <f>H340/G340</f>
        <v>0.6</v>
      </c>
      <c r="J340" s="53" t="n"/>
      <c r="K340" s="54" t="n"/>
    </row>
    <row r="341">
      <c r="A341" s="39" t="inlineStr">
        <is>
          <t>Carolina Herrera</t>
        </is>
      </c>
      <c r="B341" s="47" t="inlineStr">
        <is>
          <t>CAROLINA HERRERA 212 MEN NYC EDT 200ML MASC</t>
        </is>
      </c>
      <c r="C341" s="48" t="n">
        <v>200</v>
      </c>
      <c r="D341" s="49" t="inlineStr">
        <is>
          <t>Diseñador</t>
        </is>
      </c>
      <c r="E341" s="50" t="n">
        <v>80</v>
      </c>
      <c r="F341" s="51">
        <f>E341*$B$5*(1+$B$6)</f>
        <v>104000</v>
      </c>
      <c r="G341" s="51">
        <f>F341*$B$7</f>
        <v>260000</v>
      </c>
      <c r="H341" s="51">
        <f>G341-F341</f>
        <v>156000</v>
      </c>
      <c r="I341" s="52">
        <f>H341/G341</f>
        <v>0.6</v>
      </c>
      <c r="J341" s="53" t="n"/>
      <c r="K341" s="54" t="n"/>
    </row>
    <row r="342">
      <c r="A342" s="39" t="inlineStr">
        <is>
          <t>Carolina Herrera</t>
        </is>
      </c>
      <c r="B342" s="47" t="inlineStr">
        <is>
          <t>CAROLINA HERRERA 212 MEN NYC EDT 50ML MASC</t>
        </is>
      </c>
      <c r="C342" s="48" t="n">
        <v>50</v>
      </c>
      <c r="D342" s="49" t="inlineStr">
        <is>
          <t>Diseñador</t>
        </is>
      </c>
      <c r="E342" s="50" t="n">
        <v>41</v>
      </c>
      <c r="F342" s="51">
        <f>E342*$B$5*(1+$B$6)</f>
        <v>53300</v>
      </c>
      <c r="G342" s="51">
        <f>F342*$B$7</f>
        <v>133250</v>
      </c>
      <c r="H342" s="51">
        <f>G342-F342</f>
        <v>79950</v>
      </c>
      <c r="I342" s="52">
        <f>H342/G342</f>
        <v>0.6</v>
      </c>
      <c r="J342" s="53" t="n"/>
      <c r="K342" s="54" t="n"/>
    </row>
    <row r="343">
      <c r="A343" s="39" t="inlineStr">
        <is>
          <t>Carolina Herrera</t>
        </is>
      </c>
      <c r="B343" s="47" t="inlineStr">
        <is>
          <t>CAROLINA HERRERA 212 MEN NYC MTV EDT 100ML</t>
        </is>
      </c>
      <c r="C343" s="48" t="n">
        <v>100</v>
      </c>
      <c r="D343" s="49" t="inlineStr">
        <is>
          <t>Diseñador</t>
        </is>
      </c>
      <c r="E343" s="50" t="n">
        <v>76</v>
      </c>
      <c r="F343" s="51">
        <f>E343*$B$5*(1+$B$6)</f>
        <v>98800</v>
      </c>
      <c r="G343" s="51">
        <f>F343*$B$7</f>
        <v>247000</v>
      </c>
      <c r="H343" s="51">
        <f>G343-F343</f>
        <v>148200</v>
      </c>
      <c r="I343" s="52">
        <f>H343/G343</f>
        <v>0.6</v>
      </c>
      <c r="J343" s="53" t="n"/>
      <c r="K343" s="54" t="n"/>
    </row>
    <row r="344">
      <c r="A344" s="39" t="inlineStr">
        <is>
          <t>Carolina Herrera</t>
        </is>
      </c>
      <c r="B344" s="47" t="inlineStr">
        <is>
          <t>CAROLINA HERRERA 212 NYC EDT 100ML FEM</t>
        </is>
      </c>
      <c r="C344" s="48" t="n">
        <v>100</v>
      </c>
      <c r="D344" s="49" t="inlineStr">
        <is>
          <t>Diseñador</t>
        </is>
      </c>
      <c r="E344" s="50" t="n">
        <v>64</v>
      </c>
      <c r="F344" s="51">
        <f>E344*$B$5*(1+$B$6)</f>
        <v>83200</v>
      </c>
      <c r="G344" s="51">
        <f>F344*$B$7</f>
        <v>208000</v>
      </c>
      <c r="H344" s="51">
        <f>G344-F344</f>
        <v>124800</v>
      </c>
      <c r="I344" s="52">
        <f>H344/G344</f>
        <v>0.6</v>
      </c>
      <c r="J344" s="53" t="n"/>
      <c r="K344" s="54" t="n"/>
    </row>
    <row r="345">
      <c r="A345" s="39" t="inlineStr">
        <is>
          <t>Carolina Herrera</t>
        </is>
      </c>
      <c r="B345" s="47" t="inlineStr">
        <is>
          <t>CAROLINA HERRERA 212 NYC EDT 60ML FEM</t>
        </is>
      </c>
      <c r="C345" s="48" t="n">
        <v>60</v>
      </c>
      <c r="D345" s="49" t="inlineStr">
        <is>
          <t>Diseñador</t>
        </is>
      </c>
      <c r="E345" s="50" t="n">
        <v>53</v>
      </c>
      <c r="F345" s="51">
        <f>E345*$B$5*(1+$B$6)</f>
        <v>68900</v>
      </c>
      <c r="G345" s="51">
        <f>F345*$B$7</f>
        <v>172250</v>
      </c>
      <c r="H345" s="51">
        <f>G345-F345</f>
        <v>103350</v>
      </c>
      <c r="I345" s="52">
        <f>H345/G345</f>
        <v>0.6</v>
      </c>
      <c r="J345" s="53" t="n"/>
      <c r="K345" s="54" t="n"/>
    </row>
    <row r="346">
      <c r="A346" s="39" t="inlineStr">
        <is>
          <t>Carolina Herrera</t>
        </is>
      </c>
      <c r="B346" s="47" t="inlineStr">
        <is>
          <t>CAROLINA HERRERA 212 PARTY FEVER 80ML FEM</t>
        </is>
      </c>
      <c r="C346" s="48" t="n">
        <v>80</v>
      </c>
      <c r="D346" s="49" t="inlineStr">
        <is>
          <t>Diseñador</t>
        </is>
      </c>
      <c r="E346" s="50" t="n">
        <v>72</v>
      </c>
      <c r="F346" s="51">
        <f>E346*$B$5*(1+$B$6)</f>
        <v>93600</v>
      </c>
      <c r="G346" s="51">
        <f>F346*$B$7</f>
        <v>234000</v>
      </c>
      <c r="H346" s="51">
        <f>G346-F346</f>
        <v>140400</v>
      </c>
      <c r="I346" s="52">
        <f>H346/G346</f>
        <v>0.6</v>
      </c>
      <c r="J346" s="53" t="n"/>
      <c r="K346" s="54" t="n"/>
    </row>
    <row r="347">
      <c r="A347" s="39" t="inlineStr">
        <is>
          <t>Carolina Herrera</t>
        </is>
      </c>
      <c r="B347" s="47" t="inlineStr">
        <is>
          <t>CAROLINA HERRERA 212 SEXY EDP 100ML FEM</t>
        </is>
      </c>
      <c r="C347" s="48" t="n">
        <v>100</v>
      </c>
      <c r="D347" s="49" t="inlineStr">
        <is>
          <t>Diseñador</t>
        </is>
      </c>
      <c r="E347" s="50" t="n">
        <v>78</v>
      </c>
      <c r="F347" s="51">
        <f>E347*$B$5*(1+$B$6)</f>
        <v>101400</v>
      </c>
      <c r="G347" s="51">
        <f>F347*$B$7</f>
        <v>253500</v>
      </c>
      <c r="H347" s="51">
        <f>G347-F347</f>
        <v>152100</v>
      </c>
      <c r="I347" s="52">
        <f>H347/G347</f>
        <v>0.6</v>
      </c>
      <c r="J347" s="53" t="n"/>
      <c r="K347" s="54" t="n"/>
    </row>
    <row r="348">
      <c r="A348" s="39" t="inlineStr">
        <is>
          <t>Carolina Herrera</t>
        </is>
      </c>
      <c r="B348" s="47" t="inlineStr">
        <is>
          <t>CAROLINA HERRERA 212 SEXY MEN EDT 100ML</t>
        </is>
      </c>
      <c r="C348" s="48" t="n">
        <v>100</v>
      </c>
      <c r="D348" s="49" t="inlineStr">
        <is>
          <t>Diseñador</t>
        </is>
      </c>
      <c r="E348" s="50" t="n">
        <v>49.5</v>
      </c>
      <c r="F348" s="51">
        <f>E348*$B$5*(1+$B$6)</f>
        <v>64350</v>
      </c>
      <c r="G348" s="51">
        <f>F348*$B$7</f>
        <v>160875</v>
      </c>
      <c r="H348" s="51">
        <f>G348-F348</f>
        <v>96525</v>
      </c>
      <c r="I348" s="52">
        <f>H348/G348</f>
        <v>0.6</v>
      </c>
      <c r="J348" s="53" t="n"/>
      <c r="K348" s="54" t="n"/>
    </row>
    <row r="349">
      <c r="A349" s="39" t="inlineStr">
        <is>
          <t>Carolina Herrera</t>
        </is>
      </c>
      <c r="B349" s="47" t="inlineStr">
        <is>
          <t>CAROLINA HERRERA 212 VIP BLACK EDP 100ML MASC</t>
        </is>
      </c>
      <c r="C349" s="48" t="n">
        <v>100</v>
      </c>
      <c r="D349" s="49" t="inlineStr">
        <is>
          <t>Diseñador</t>
        </is>
      </c>
      <c r="E349" s="50" t="n">
        <v>65</v>
      </c>
      <c r="F349" s="51">
        <f>E349*$B$5*(1+$B$6)</f>
        <v>84500</v>
      </c>
      <c r="G349" s="51">
        <f>F349*$B$7</f>
        <v>211250</v>
      </c>
      <c r="H349" s="51">
        <f>G349-F349</f>
        <v>126750</v>
      </c>
      <c r="I349" s="52">
        <f>H349/G349</f>
        <v>0.6</v>
      </c>
      <c r="J349" s="53" t="n"/>
      <c r="K349" s="54" t="n"/>
    </row>
    <row r="350">
      <c r="A350" s="39" t="inlineStr">
        <is>
          <t>Carolina Herrera</t>
        </is>
      </c>
      <c r="B350" s="47" t="inlineStr">
        <is>
          <t>CAROLINA HERRERA 212 VIP BLACK EDP 50ML MASC</t>
        </is>
      </c>
      <c r="C350" s="48" t="n">
        <v>50</v>
      </c>
      <c r="D350" s="49" t="inlineStr">
        <is>
          <t>Diseñador</t>
        </is>
      </c>
      <c r="E350" s="50" t="n">
        <v>47.5</v>
      </c>
      <c r="F350" s="51">
        <f>E350*$B$5*(1+$B$6)</f>
        <v>61750</v>
      </c>
      <c r="G350" s="51">
        <f>F350*$B$7</f>
        <v>154375</v>
      </c>
      <c r="H350" s="51">
        <f>G350-F350</f>
        <v>92625</v>
      </c>
      <c r="I350" s="52">
        <f>H350/G350</f>
        <v>0.6</v>
      </c>
      <c r="J350" s="53" t="n"/>
      <c r="K350" s="54" t="n"/>
    </row>
    <row r="351">
      <c r="A351" s="39" t="inlineStr">
        <is>
          <t>Carolina Herrera</t>
        </is>
      </c>
      <c r="B351" s="47" t="inlineStr">
        <is>
          <t>CAROLINA HERRERA 212 VIP BLACK EDP NYC RODEO LIMITED 100ML MASC</t>
        </is>
      </c>
      <c r="C351" s="48" t="n">
        <v>100</v>
      </c>
      <c r="D351" s="49" t="inlineStr">
        <is>
          <t>Diseñador</t>
        </is>
      </c>
      <c r="E351" s="50" t="n">
        <v>67</v>
      </c>
      <c r="F351" s="51">
        <f>E351*$B$5*(1+$B$6)</f>
        <v>87100</v>
      </c>
      <c r="G351" s="51">
        <f>F351*$B$7</f>
        <v>217750</v>
      </c>
      <c r="H351" s="51">
        <f>G351-F351</f>
        <v>130650</v>
      </c>
      <c r="I351" s="52">
        <f>H351/G351</f>
        <v>0.6</v>
      </c>
      <c r="J351" s="53" t="n"/>
      <c r="K351" s="54" t="n"/>
    </row>
    <row r="352">
      <c r="A352" s="39" t="inlineStr">
        <is>
          <t>Carolina Herrera</t>
        </is>
      </c>
      <c r="B352" s="47" t="inlineStr">
        <is>
          <t>CAROLINA HERRERA 212 VIP BLACK ELIXIR EDP 100ML MASC</t>
        </is>
      </c>
      <c r="C352" s="48" t="n">
        <v>100</v>
      </c>
      <c r="D352" s="49" t="inlineStr">
        <is>
          <t>Diseñador</t>
        </is>
      </c>
      <c r="E352" s="50" t="n">
        <v>70</v>
      </c>
      <c r="F352" s="51">
        <f>E352*$B$5*(1+$B$6)</f>
        <v>91000</v>
      </c>
      <c r="G352" s="51">
        <f>F352*$B$7</f>
        <v>227500</v>
      </c>
      <c r="H352" s="51">
        <f>G352-F352</f>
        <v>136500</v>
      </c>
      <c r="I352" s="52">
        <f>H352/G352</f>
        <v>0.6</v>
      </c>
      <c r="J352" s="53" t="n"/>
      <c r="K352" s="54" t="n"/>
    </row>
    <row r="353">
      <c r="A353" s="39" t="inlineStr">
        <is>
          <t>Carolina Herrera</t>
        </is>
      </c>
      <c r="B353" s="47" t="inlineStr">
        <is>
          <t>CAROLINA HERRERA 212 VIP BLACK MTV EDP 100ML</t>
        </is>
      </c>
      <c r="C353" s="48" t="n">
        <v>100</v>
      </c>
      <c r="D353" s="49" t="inlineStr">
        <is>
          <t>Diseñador</t>
        </is>
      </c>
      <c r="E353" s="50" t="n">
        <v>65</v>
      </c>
      <c r="F353" s="51">
        <f>E353*$B$5*(1+$B$6)</f>
        <v>84500</v>
      </c>
      <c r="G353" s="51">
        <f>F353*$B$7</f>
        <v>211250</v>
      </c>
      <c r="H353" s="51">
        <f>G353-F353</f>
        <v>126750</v>
      </c>
      <c r="I353" s="52">
        <f>H353/G353</f>
        <v>0.6</v>
      </c>
      <c r="J353" s="53" t="n"/>
      <c r="K353" s="54" t="n"/>
    </row>
    <row r="354">
      <c r="A354" s="39" t="inlineStr">
        <is>
          <t>Carolina Herrera</t>
        </is>
      </c>
      <c r="B354" s="47" t="inlineStr">
        <is>
          <t>CAROLINA HERRERA 212 VIP BLACK NYC CAB EDITION EDP 100ML</t>
        </is>
      </c>
      <c r="C354" s="48" t="n">
        <v>100</v>
      </c>
      <c r="D354" s="49" t="inlineStr">
        <is>
          <t>Diseñador</t>
        </is>
      </c>
      <c r="E354" s="50" t="n">
        <v>82</v>
      </c>
      <c r="F354" s="51">
        <f>E354*$B$5*(1+$B$6)</f>
        <v>106600</v>
      </c>
      <c r="G354" s="51">
        <f>F354*$B$7</f>
        <v>266500</v>
      </c>
      <c r="H354" s="51">
        <f>G354-F354</f>
        <v>159900</v>
      </c>
      <c r="I354" s="52">
        <f>H354/G354</f>
        <v>0.6</v>
      </c>
      <c r="J354" s="53" t="n"/>
      <c r="K354" s="54" t="n"/>
    </row>
    <row r="355">
      <c r="A355" s="39" t="inlineStr">
        <is>
          <t>Carolina Herrera</t>
        </is>
      </c>
      <c r="B355" s="47" t="inlineStr">
        <is>
          <t>CAROLINA HERRERA 212 VIP EDP 80ML FEM</t>
        </is>
      </c>
      <c r="C355" s="48" t="n">
        <v>80</v>
      </c>
      <c r="D355" s="49" t="inlineStr">
        <is>
          <t>Diseñador</t>
        </is>
      </c>
      <c r="E355" s="50" t="n">
        <v>70</v>
      </c>
      <c r="F355" s="51">
        <f>E355*$B$5*(1+$B$6)</f>
        <v>91000</v>
      </c>
      <c r="G355" s="51">
        <f>F355*$B$7</f>
        <v>227500</v>
      </c>
      <c r="H355" s="51">
        <f>G355-F355</f>
        <v>136500</v>
      </c>
      <c r="I355" s="52">
        <f>H355/G355</f>
        <v>0.6</v>
      </c>
      <c r="J355" s="53" t="n"/>
      <c r="K355" s="54" t="n"/>
    </row>
    <row r="356">
      <c r="A356" s="39" t="inlineStr">
        <is>
          <t>Carolina Herrera</t>
        </is>
      </c>
      <c r="B356" s="47" t="inlineStr">
        <is>
          <t>CAROLINA HERRERA 212 VIP MEN EDT 100ML MASC</t>
        </is>
      </c>
      <c r="C356" s="48" t="n">
        <v>100</v>
      </c>
      <c r="D356" s="49" t="inlineStr">
        <is>
          <t>Diseñador</t>
        </is>
      </c>
      <c r="E356" s="50" t="n">
        <v>60</v>
      </c>
      <c r="F356" s="51">
        <f>E356*$B$5*(1+$B$6)</f>
        <v>78000</v>
      </c>
      <c r="G356" s="51">
        <f>F356*$B$7</f>
        <v>195000</v>
      </c>
      <c r="H356" s="51">
        <f>G356-F356</f>
        <v>117000</v>
      </c>
      <c r="I356" s="52">
        <f>H356/G356</f>
        <v>0.6</v>
      </c>
      <c r="J356" s="53" t="n"/>
      <c r="K356" s="54" t="n"/>
    </row>
    <row r="357">
      <c r="A357" s="39" t="inlineStr">
        <is>
          <t>Carolina Herrera</t>
        </is>
      </c>
      <c r="B357" s="47" t="inlineStr">
        <is>
          <t>CAROLINA HERRERA 212 VIP MEN EDT 200ML MASC</t>
        </is>
      </c>
      <c r="C357" s="48" t="n">
        <v>200</v>
      </c>
      <c r="D357" s="49" t="inlineStr">
        <is>
          <t>Diseñador</t>
        </is>
      </c>
      <c r="E357" s="50" t="n">
        <v>80</v>
      </c>
      <c r="F357" s="51">
        <f>E357*$B$5*(1+$B$6)</f>
        <v>104000</v>
      </c>
      <c r="G357" s="51">
        <f>F357*$B$7</f>
        <v>260000</v>
      </c>
      <c r="H357" s="51">
        <f>G357-F357</f>
        <v>156000</v>
      </c>
      <c r="I357" s="52">
        <f>H357/G357</f>
        <v>0.6</v>
      </c>
      <c r="J357" s="53" t="n"/>
      <c r="K357" s="54" t="n"/>
    </row>
    <row r="358">
      <c r="A358" s="39" t="inlineStr">
        <is>
          <t>Carolina Herrera</t>
        </is>
      </c>
      <c r="B358" s="47" t="inlineStr">
        <is>
          <t>CAROLINA HERRERA 212 VIP MEN EDT 50ML MASC</t>
        </is>
      </c>
      <c r="C358" s="48" t="n">
        <v>50</v>
      </c>
      <c r="D358" s="49" t="inlineStr">
        <is>
          <t>Diseñador</t>
        </is>
      </c>
      <c r="E358" s="50" t="n">
        <v>45</v>
      </c>
      <c r="F358" s="51">
        <f>E358*$B$5*(1+$B$6)</f>
        <v>58500</v>
      </c>
      <c r="G358" s="51">
        <f>F358*$B$7</f>
        <v>146250</v>
      </c>
      <c r="H358" s="51">
        <f>G358-F358</f>
        <v>87750</v>
      </c>
      <c r="I358" s="52">
        <f>H358/G358</f>
        <v>0.6</v>
      </c>
      <c r="J358" s="53" t="n"/>
      <c r="K358" s="54" t="n"/>
    </row>
    <row r="359">
      <c r="A359" s="39" t="inlineStr">
        <is>
          <t>Carolina Herrera</t>
        </is>
      </c>
      <c r="B359" s="47" t="inlineStr">
        <is>
          <t>CAROLINA HERRERA 212 VIP ROSE EDP 80ML FEM</t>
        </is>
      </c>
      <c r="C359" s="48" t="n">
        <v>80</v>
      </c>
      <c r="D359" s="49" t="inlineStr">
        <is>
          <t>Diseñador</t>
        </is>
      </c>
      <c r="E359" s="50" t="n">
        <v>72</v>
      </c>
      <c r="F359" s="51">
        <f>E359*$B$5*(1+$B$6)</f>
        <v>93600</v>
      </c>
      <c r="G359" s="51">
        <f>F359*$B$7</f>
        <v>234000</v>
      </c>
      <c r="H359" s="51">
        <f>G359-F359</f>
        <v>140400</v>
      </c>
      <c r="I359" s="52">
        <f>H359/G359</f>
        <v>0.6</v>
      </c>
      <c r="J359" s="53" t="n"/>
      <c r="K359" s="54" t="n"/>
    </row>
    <row r="360">
      <c r="A360" s="39" t="inlineStr">
        <is>
          <t>Carolina Herrera</t>
        </is>
      </c>
      <c r="B360" s="47" t="inlineStr">
        <is>
          <t>CAROLINA HERRERA 212 VIP ROSE ELIXIR EDP 80ML FEM</t>
        </is>
      </c>
      <c r="C360" s="48" t="n">
        <v>80</v>
      </c>
      <c r="D360" s="49" t="inlineStr">
        <is>
          <t>Diseñador</t>
        </is>
      </c>
      <c r="E360" s="50" t="n">
        <v>74</v>
      </c>
      <c r="F360" s="51">
        <f>E360*$B$5*(1+$B$6)</f>
        <v>96200</v>
      </c>
      <c r="G360" s="51">
        <f>F360*$B$7</f>
        <v>240500</v>
      </c>
      <c r="H360" s="51">
        <f>G360-F360</f>
        <v>144300</v>
      </c>
      <c r="I360" s="52">
        <f>H360/G360</f>
        <v>0.6</v>
      </c>
      <c r="J360" s="53" t="n"/>
      <c r="K360" s="54" t="n"/>
    </row>
    <row r="361">
      <c r="A361" s="39" t="inlineStr">
        <is>
          <t>Carolina Herrera</t>
        </is>
      </c>
      <c r="B361" s="47" t="inlineStr">
        <is>
          <t>CAROLINA HERRERA 212 VIP ROSE I LOVE NY EDIT EDP 80ML</t>
        </is>
      </c>
      <c r="C361" s="48" t="n">
        <v>80</v>
      </c>
      <c r="D361" s="49" t="inlineStr">
        <is>
          <t>Diseñador</t>
        </is>
      </c>
      <c r="E361" s="50" t="n">
        <v>63.5</v>
      </c>
      <c r="F361" s="51">
        <f>E361*$B$5*(1+$B$6)</f>
        <v>82550</v>
      </c>
      <c r="G361" s="51">
        <f>F361*$B$7</f>
        <v>206375</v>
      </c>
      <c r="H361" s="51">
        <f>G361-F361</f>
        <v>123825</v>
      </c>
      <c r="I361" s="52">
        <f>H361/G361</f>
        <v>0.6</v>
      </c>
      <c r="J361" s="53" t="n"/>
      <c r="K361" s="54" t="n"/>
    </row>
    <row r="362">
      <c r="A362" s="39" t="inlineStr">
        <is>
          <t>Carolina Herrera</t>
        </is>
      </c>
      <c r="B362" s="47" t="inlineStr">
        <is>
          <t>CAROLINA HERRERA 212 VIP ROSE NYC CAB EDITION EDP 80ML</t>
        </is>
      </c>
      <c r="C362" s="48" t="n">
        <v>80</v>
      </c>
      <c r="D362" s="49" t="inlineStr">
        <is>
          <t>Diseñador</t>
        </is>
      </c>
      <c r="E362" s="50" t="n">
        <v>79</v>
      </c>
      <c r="F362" s="51">
        <f>E362*$B$5*(1+$B$6)</f>
        <v>102700</v>
      </c>
      <c r="G362" s="51">
        <f>F362*$B$7</f>
        <v>256750</v>
      </c>
      <c r="H362" s="51">
        <f>G362-F362</f>
        <v>154050</v>
      </c>
      <c r="I362" s="52">
        <f>H362/G362</f>
        <v>0.6</v>
      </c>
      <c r="J362" s="53" t="n"/>
      <c r="K362" s="54" t="n"/>
    </row>
    <row r="363">
      <c r="A363" s="39" t="inlineStr">
        <is>
          <t>Carolina Herrera</t>
        </is>
      </c>
      <c r="B363" s="47" t="inlineStr">
        <is>
          <t>CAROLINA HERRERA BAD BOY COBALT EDP 100ML MASC</t>
        </is>
      </c>
      <c r="C363" s="48" t="n">
        <v>100</v>
      </c>
      <c r="D363" s="49" t="inlineStr">
        <is>
          <t>Diseñador</t>
        </is>
      </c>
      <c r="E363" s="50" t="n">
        <v>65</v>
      </c>
      <c r="F363" s="51">
        <f>E363*$B$5*(1+$B$6)</f>
        <v>84500</v>
      </c>
      <c r="G363" s="51">
        <f>F363*$B$7</f>
        <v>211250</v>
      </c>
      <c r="H363" s="51">
        <f>G363-F363</f>
        <v>126750</v>
      </c>
      <c r="I363" s="52">
        <f>H363/G363</f>
        <v>0.6</v>
      </c>
      <c r="J363" s="53" t="n"/>
      <c r="K363" s="54" t="n"/>
    </row>
    <row r="364">
      <c r="A364" s="39" t="inlineStr">
        <is>
          <t>Carolina Herrera</t>
        </is>
      </c>
      <c r="B364" s="47" t="inlineStr">
        <is>
          <t>CAROLINA HERRERA BAD BOY COBALT ELIXIR EDP 100ML MASC</t>
        </is>
      </c>
      <c r="C364" s="48" t="n">
        <v>100</v>
      </c>
      <c r="D364" s="49" t="inlineStr">
        <is>
          <t>Diseñador</t>
        </is>
      </c>
      <c r="E364" s="50" t="n">
        <v>74</v>
      </c>
      <c r="F364" s="51">
        <f>E364*$B$5*(1+$B$6)</f>
        <v>96200</v>
      </c>
      <c r="G364" s="51">
        <f>F364*$B$7</f>
        <v>240500</v>
      </c>
      <c r="H364" s="51">
        <f>G364-F364</f>
        <v>144300</v>
      </c>
      <c r="I364" s="52">
        <f>H364/G364</f>
        <v>0.6</v>
      </c>
      <c r="J364" s="53" t="n"/>
      <c r="K364" s="54" t="n"/>
    </row>
    <row r="365">
      <c r="A365" s="39" t="inlineStr">
        <is>
          <t>Carolina Herrera</t>
        </is>
      </c>
      <c r="B365" s="47" t="inlineStr">
        <is>
          <t>CAROLINA HERRERA BAD BOY ELIXIR EDP 100ML MASC</t>
        </is>
      </c>
      <c r="C365" s="48" t="n">
        <v>100</v>
      </c>
      <c r="D365" s="49" t="inlineStr">
        <is>
          <t>Diseñador</t>
        </is>
      </c>
      <c r="E365" s="50" t="n">
        <v>77</v>
      </c>
      <c r="F365" s="51">
        <f>E365*$B$5*(1+$B$6)</f>
        <v>100100</v>
      </c>
      <c r="G365" s="51">
        <f>F365*$B$7</f>
        <v>250250</v>
      </c>
      <c r="H365" s="51">
        <f>G365-F365</f>
        <v>150150</v>
      </c>
      <c r="I365" s="52">
        <f>H365/G365</f>
        <v>0.6</v>
      </c>
      <c r="J365" s="53" t="n"/>
      <c r="K365" s="54" t="n"/>
    </row>
    <row r="366">
      <c r="A366" s="39" t="inlineStr">
        <is>
          <t>Carolina Herrera</t>
        </is>
      </c>
      <c r="B366" s="47" t="inlineStr">
        <is>
          <t>CAROLINA HERRERA BAD BOY ELIXIR EDP 150ML MASC</t>
        </is>
      </c>
      <c r="C366" s="48" t="n">
        <v>150</v>
      </c>
      <c r="D366" s="49" t="inlineStr">
        <is>
          <t>Diseñador</t>
        </is>
      </c>
      <c r="E366" s="50" t="n">
        <v>89</v>
      </c>
      <c r="F366" s="51">
        <f>E366*$B$5*(1+$B$6)</f>
        <v>115700</v>
      </c>
      <c r="G366" s="51">
        <f>F366*$B$7</f>
        <v>289250</v>
      </c>
      <c r="H366" s="51">
        <f>G366-F366</f>
        <v>173550</v>
      </c>
      <c r="I366" s="52">
        <f>H366/G366</f>
        <v>0.6</v>
      </c>
      <c r="J366" s="53" t="n"/>
      <c r="K366" s="54" t="n"/>
    </row>
    <row r="367">
      <c r="A367" s="39" t="inlineStr">
        <is>
          <t>Carolina Herrera</t>
        </is>
      </c>
      <c r="B367" s="47" t="inlineStr">
        <is>
          <t>CAROLINA HERRERA BAD BOY ELIXIR EDP 50ML MASC</t>
        </is>
      </c>
      <c r="C367" s="48" t="n">
        <v>50</v>
      </c>
      <c r="D367" s="49" t="inlineStr">
        <is>
          <t>Diseñador</t>
        </is>
      </c>
      <c r="E367" s="50" t="n">
        <v>60</v>
      </c>
      <c r="F367" s="51">
        <f>E367*$B$5*(1+$B$6)</f>
        <v>78000</v>
      </c>
      <c r="G367" s="51">
        <f>F367*$B$7</f>
        <v>195000</v>
      </c>
      <c r="H367" s="51">
        <f>G367-F367</f>
        <v>117000</v>
      </c>
      <c r="I367" s="52">
        <f>H367/G367</f>
        <v>0.6</v>
      </c>
      <c r="J367" s="53" t="n"/>
      <c r="K367" s="54" t="n"/>
    </row>
    <row r="368">
      <c r="A368" s="39" t="inlineStr">
        <is>
          <t>Carolina Herrera</t>
        </is>
      </c>
      <c r="B368" s="47" t="inlineStr">
        <is>
          <t>CAROLINA HERRERA BAD BOY LE PARFUM 50ML MASC</t>
        </is>
      </c>
      <c r="C368" s="48" t="n">
        <v>50</v>
      </c>
      <c r="D368" s="49" t="inlineStr">
        <is>
          <t>Diseñador</t>
        </is>
      </c>
      <c r="E368" s="50" t="n">
        <v>50</v>
      </c>
      <c r="F368" s="51">
        <f>E368*$B$5*(1+$B$6)</f>
        <v>65000</v>
      </c>
      <c r="G368" s="51">
        <f>F368*$B$7</f>
        <v>162500</v>
      </c>
      <c r="H368" s="51">
        <f>G368-F368</f>
        <v>97500</v>
      </c>
      <c r="I368" s="52">
        <f>H368/G368</f>
        <v>0.6</v>
      </c>
      <c r="J368" s="53" t="n"/>
      <c r="K368" s="54" t="n"/>
    </row>
    <row r="369">
      <c r="A369" s="39" t="inlineStr">
        <is>
          <t>Carolina Herrera</t>
        </is>
      </c>
      <c r="B369" s="47" t="inlineStr">
        <is>
          <t>CAROLINA HERRERA BAD BOY SUPERSTARS EDT 100ML MASC</t>
        </is>
      </c>
      <c r="C369" s="48" t="n">
        <v>100</v>
      </c>
      <c r="D369" s="49" t="inlineStr">
        <is>
          <t>Diseñador</t>
        </is>
      </c>
      <c r="E369" s="50" t="n">
        <v>69</v>
      </c>
      <c r="F369" s="51">
        <f>E369*$B$5*(1+$B$6)</f>
        <v>89700</v>
      </c>
      <c r="G369" s="51">
        <f>F369*$B$7</f>
        <v>224250</v>
      </c>
      <c r="H369" s="51">
        <f>G369-F369</f>
        <v>134550</v>
      </c>
      <c r="I369" s="52">
        <f>H369/G369</f>
        <v>0.6</v>
      </c>
      <c r="J369" s="53" t="n"/>
      <c r="K369" s="54" t="n"/>
    </row>
    <row r="370">
      <c r="A370" s="39" t="inlineStr">
        <is>
          <t>Carolina Herrera</t>
        </is>
      </c>
      <c r="B370" s="47" t="inlineStr">
        <is>
          <t>CAROLINA HERRERA CH EDT 100ML FEM</t>
        </is>
      </c>
      <c r="C370" s="48" t="n">
        <v>100</v>
      </c>
      <c r="D370" s="49" t="inlineStr">
        <is>
          <t>Diseñador</t>
        </is>
      </c>
      <c r="E370" s="50" t="n">
        <v>77</v>
      </c>
      <c r="F370" s="51">
        <f>E370*$B$5*(1+$B$6)</f>
        <v>100100</v>
      </c>
      <c r="G370" s="51">
        <f>F370*$B$7</f>
        <v>250250</v>
      </c>
      <c r="H370" s="51">
        <f>G370-F370</f>
        <v>150150</v>
      </c>
      <c r="I370" s="52">
        <f>H370/G370</f>
        <v>0.6</v>
      </c>
      <c r="J370" s="53" t="n"/>
      <c r="K370" s="54" t="n"/>
    </row>
    <row r="371">
      <c r="A371" s="39" t="inlineStr">
        <is>
          <t>Carolina Herrera</t>
        </is>
      </c>
      <c r="B371" s="47" t="inlineStr">
        <is>
          <t>CAROLINA HERRERA CH EDT 50ML FEM</t>
        </is>
      </c>
      <c r="C371" s="48" t="n">
        <v>50</v>
      </c>
      <c r="D371" s="49" t="inlineStr">
        <is>
          <t>Diseñador</t>
        </is>
      </c>
      <c r="E371" s="50" t="n">
        <v>52.75</v>
      </c>
      <c r="F371" s="51">
        <f>E371*$B$5*(1+$B$6)</f>
        <v>68575</v>
      </c>
      <c r="G371" s="51">
        <f>F371*$B$7</f>
        <v>171437.5</v>
      </c>
      <c r="H371" s="51">
        <f>G371-F371</f>
        <v>102862.5</v>
      </c>
      <c r="I371" s="52">
        <f>H371/G371</f>
        <v>0.6</v>
      </c>
      <c r="J371" s="53" t="n"/>
      <c r="K371" s="54" t="n"/>
    </row>
    <row r="372">
      <c r="A372" s="39" t="inlineStr">
        <is>
          <t>Carolina Herrera</t>
        </is>
      </c>
      <c r="B372" s="47" t="inlineStr">
        <is>
          <t>CAROLINA HERRERA CH MEN EDT 100ML MASC</t>
        </is>
      </c>
      <c r="C372" s="48" t="n">
        <v>100</v>
      </c>
      <c r="D372" s="49" t="inlineStr">
        <is>
          <t>Diseñador</t>
        </is>
      </c>
      <c r="E372" s="50" t="n">
        <v>60</v>
      </c>
      <c r="F372" s="51">
        <f>E372*$B$5*(1+$B$6)</f>
        <v>78000</v>
      </c>
      <c r="G372" s="51">
        <f>F372*$B$7</f>
        <v>195000</v>
      </c>
      <c r="H372" s="51">
        <f>G372-F372</f>
        <v>117000</v>
      </c>
      <c r="I372" s="52">
        <f>H372/G372</f>
        <v>0.6</v>
      </c>
      <c r="J372" s="53" t="n"/>
      <c r="K372" s="54" t="n"/>
    </row>
    <row r="373">
      <c r="A373" s="39" t="inlineStr">
        <is>
          <t>Carolina Herrera</t>
        </is>
      </c>
      <c r="B373" s="47" t="inlineStr">
        <is>
          <t>CAROLINA HERRERA CH MEN PASION EDP 100ML MASC</t>
        </is>
      </c>
      <c r="C373" s="48" t="n">
        <v>100</v>
      </c>
      <c r="D373" s="49" t="inlineStr">
        <is>
          <t>Diseñador</t>
        </is>
      </c>
      <c r="E373" s="50" t="n">
        <v>56</v>
      </c>
      <c r="F373" s="51">
        <f>E373*$B$5*(1+$B$6)</f>
        <v>72800</v>
      </c>
      <c r="G373" s="51">
        <f>F373*$B$7</f>
        <v>182000</v>
      </c>
      <c r="H373" s="51">
        <f>G373-F373</f>
        <v>109200</v>
      </c>
      <c r="I373" s="52">
        <f>H373/G373</f>
        <v>0.6</v>
      </c>
      <c r="J373" s="53" t="n"/>
      <c r="K373" s="54" t="n"/>
    </row>
    <row r="374">
      <c r="A374" s="39" t="inlineStr">
        <is>
          <t>Carolina Herrera</t>
        </is>
      </c>
      <c r="B374" s="47" t="inlineStr">
        <is>
          <t>CAROLINA HERRERA CH PASION EDP 100ML FEM</t>
        </is>
      </c>
      <c r="C374" s="48" t="n">
        <v>100</v>
      </c>
      <c r="D374" s="49" t="inlineStr">
        <is>
          <t>Diseñador</t>
        </is>
      </c>
      <c r="E374" s="50" t="n">
        <v>66</v>
      </c>
      <c r="F374" s="51">
        <f>E374*$B$5*(1+$B$6)</f>
        <v>85800</v>
      </c>
      <c r="G374" s="51">
        <f>F374*$B$7</f>
        <v>214500</v>
      </c>
      <c r="H374" s="51">
        <f>G374-F374</f>
        <v>128700</v>
      </c>
      <c r="I374" s="52">
        <f>H374/G374</f>
        <v>0.6</v>
      </c>
      <c r="J374" s="53" t="n"/>
      <c r="K374" s="54" t="n"/>
    </row>
    <row r="375">
      <c r="A375" s="39" t="inlineStr">
        <is>
          <t>Carolina Herrera</t>
        </is>
      </c>
      <c r="B375" s="47" t="inlineStr">
        <is>
          <t>CAROLINA HERRERA CHIC EDP 80ML FEM</t>
        </is>
      </c>
      <c r="C375" s="48" t="n">
        <v>80</v>
      </c>
      <c r="D375" s="49" t="inlineStr">
        <is>
          <t>Diseñador</t>
        </is>
      </c>
      <c r="E375" s="50" t="n">
        <v>44</v>
      </c>
      <c r="F375" s="51">
        <f>E375*$B$5*(1+$B$6)</f>
        <v>57200</v>
      </c>
      <c r="G375" s="51">
        <f>F375*$B$7</f>
        <v>143000</v>
      </c>
      <c r="H375" s="51">
        <f>G375-F375</f>
        <v>85800</v>
      </c>
      <c r="I375" s="52">
        <f>H375/G375</f>
        <v>0.6</v>
      </c>
      <c r="J375" s="53" t="n"/>
      <c r="K375" s="54" t="n"/>
    </row>
    <row r="376">
      <c r="A376" s="39" t="inlineStr">
        <is>
          <t>Carolina Herrera</t>
        </is>
      </c>
      <c r="B376" s="47" t="inlineStr">
        <is>
          <t>CAROLINA HERRERA CHIC FOR MEN EDT 100ML MASC</t>
        </is>
      </c>
      <c r="C376" s="48" t="n">
        <v>100</v>
      </c>
      <c r="D376" s="49" t="inlineStr">
        <is>
          <t>Diseñador</t>
        </is>
      </c>
      <c r="E376" s="50" t="n">
        <v>46</v>
      </c>
      <c r="F376" s="51">
        <f>E376*$B$5*(1+$B$6)</f>
        <v>59800</v>
      </c>
      <c r="G376" s="51">
        <f>F376*$B$7</f>
        <v>149500</v>
      </c>
      <c r="H376" s="51">
        <f>G376-F376</f>
        <v>89700</v>
      </c>
      <c r="I376" s="52">
        <f>H376/G376</f>
        <v>0.6</v>
      </c>
      <c r="J376" s="53" t="n"/>
      <c r="K376" s="54" t="n"/>
    </row>
    <row r="377">
      <c r="A377" s="39" t="inlineStr">
        <is>
          <t>Carolina Herrera</t>
        </is>
      </c>
      <c r="B377" s="47" t="inlineStr">
        <is>
          <t>CAROLINA HERRERA GOOD GIRL BLUSH ELIXIR EDP 50ML</t>
        </is>
      </c>
      <c r="C377" s="48" t="n">
        <v>50</v>
      </c>
      <c r="D377" s="49" t="inlineStr">
        <is>
          <t>Diseñador</t>
        </is>
      </c>
      <c r="E377" s="50" t="n">
        <v>66</v>
      </c>
      <c r="F377" s="51">
        <f>E377*$B$5*(1+$B$6)</f>
        <v>85800</v>
      </c>
      <c r="G377" s="51">
        <f>F377*$B$7</f>
        <v>214500</v>
      </c>
      <c r="H377" s="51">
        <f>G377-F377</f>
        <v>128700</v>
      </c>
      <c r="I377" s="52">
        <f>H377/G377</f>
        <v>0.6</v>
      </c>
      <c r="J377" s="53" t="n"/>
      <c r="K377" s="54" t="n"/>
    </row>
    <row r="378">
      <c r="A378" s="39" t="inlineStr">
        <is>
          <t>Carolina Herrera</t>
        </is>
      </c>
      <c r="B378" s="47" t="inlineStr">
        <is>
          <t>CAROLINA HERRERA GOOD GIRL BOWTASTIC BLUSH EDP 80ML</t>
        </is>
      </c>
      <c r="C378" s="48" t="n">
        <v>80</v>
      </c>
      <c r="D378" s="49" t="inlineStr">
        <is>
          <t>Diseñador</t>
        </is>
      </c>
      <c r="E378" s="50" t="n">
        <v>90.5</v>
      </c>
      <c r="F378" s="51">
        <f>E378*$B$5*(1+$B$6)</f>
        <v>117650</v>
      </c>
      <c r="G378" s="51">
        <f>F378*$B$7</f>
        <v>294125</v>
      </c>
      <c r="H378" s="51">
        <f>G378-F378</f>
        <v>176475</v>
      </c>
      <c r="I378" s="52">
        <f>H378/G378</f>
        <v>0.6</v>
      </c>
      <c r="J378" s="53" t="n"/>
      <c r="K378" s="54" t="n"/>
    </row>
    <row r="379">
      <c r="A379" s="39" t="inlineStr">
        <is>
          <t>Carolina Herrera</t>
        </is>
      </c>
      <c r="B379" s="47" t="inlineStr">
        <is>
          <t>CAROLINA HERRERA GOOD GIRL EDP 50ML</t>
        </is>
      </c>
      <c r="C379" s="48" t="n">
        <v>50</v>
      </c>
      <c r="D379" s="49" t="inlineStr">
        <is>
          <t>Diseñador</t>
        </is>
      </c>
      <c r="E379" s="50" t="n">
        <v>57.5</v>
      </c>
      <c r="F379" s="51">
        <f>E379*$B$5*(1+$B$6)</f>
        <v>74750</v>
      </c>
      <c r="G379" s="51">
        <f>F379*$B$7</f>
        <v>186875</v>
      </c>
      <c r="H379" s="51">
        <f>G379-F379</f>
        <v>112125</v>
      </c>
      <c r="I379" s="52">
        <f>H379/G379</f>
        <v>0.6</v>
      </c>
      <c r="J379" s="53" t="n"/>
      <c r="K379" s="54" t="n"/>
    </row>
    <row r="380">
      <c r="A380" s="39" t="inlineStr">
        <is>
          <t>Carolina Herrera</t>
        </is>
      </c>
      <c r="B380" s="47" t="inlineStr">
        <is>
          <t>CAROLINA HERRERA GOOD GIRL EDP 80ML</t>
        </is>
      </c>
      <c r="C380" s="48" t="n">
        <v>80</v>
      </c>
      <c r="D380" s="49" t="inlineStr">
        <is>
          <t>Diseñador</t>
        </is>
      </c>
      <c r="E380" s="50" t="n">
        <v>78</v>
      </c>
      <c r="F380" s="51">
        <f>E380*$B$5*(1+$B$6)</f>
        <v>101400</v>
      </c>
      <c r="G380" s="51">
        <f>F380*$B$7</f>
        <v>253500</v>
      </c>
      <c r="H380" s="51">
        <f>G380-F380</f>
        <v>152100</v>
      </c>
      <c r="I380" s="52">
        <f>H380/G380</f>
        <v>0.6</v>
      </c>
      <c r="J380" s="53" t="n"/>
      <c r="K380" s="54" t="n"/>
    </row>
    <row r="381">
      <c r="A381" s="39" t="inlineStr">
        <is>
          <t>Carolina Herrera</t>
        </is>
      </c>
      <c r="B381" s="47" t="inlineStr">
        <is>
          <t>CAROLINA HERRERA GOOD GIRL JASMINE ABSOLUTE EDP 80ML</t>
        </is>
      </c>
      <c r="C381" s="48" t="n">
        <v>80</v>
      </c>
      <c r="D381" s="49" t="inlineStr">
        <is>
          <t>Diseñador</t>
        </is>
      </c>
      <c r="E381" s="50" t="n">
        <v>95</v>
      </c>
      <c r="F381" s="51">
        <f>E381*$B$5*(1+$B$6)</f>
        <v>123500</v>
      </c>
      <c r="G381" s="51">
        <f>F381*$B$7</f>
        <v>308750</v>
      </c>
      <c r="H381" s="51">
        <f>G381-F381</f>
        <v>185250</v>
      </c>
      <c r="I381" s="52">
        <f>H381/G381</f>
        <v>0.6</v>
      </c>
      <c r="J381" s="53" t="n"/>
      <c r="K381" s="54" t="n"/>
    </row>
    <row r="382">
      <c r="A382" s="39" t="inlineStr">
        <is>
          <t>Carolina Herrera</t>
        </is>
      </c>
      <c r="B382" s="47" t="inlineStr">
        <is>
          <t>CAROLINA HERRERA GOOD GIRL VERY ELIXIR EDP ELIXIR 50ML</t>
        </is>
      </c>
      <c r="C382" s="48" t="n">
        <v>50</v>
      </c>
      <c r="D382" s="49" t="inlineStr">
        <is>
          <t>Diseñador</t>
        </is>
      </c>
      <c r="E382" s="50" t="n">
        <v>60.9</v>
      </c>
      <c r="F382" s="51">
        <f>E382*$B$5*(1+$B$6)</f>
        <v>79170</v>
      </c>
      <c r="G382" s="51">
        <f>F382*$B$7</f>
        <v>197925</v>
      </c>
      <c r="H382" s="51">
        <f>G382-F382</f>
        <v>118755</v>
      </c>
      <c r="I382" s="52">
        <f>H382/G382</f>
        <v>0.6</v>
      </c>
      <c r="J382" s="53" t="n"/>
      <c r="K382" s="54" t="n"/>
    </row>
    <row r="383">
      <c r="A383" s="39" t="inlineStr">
        <is>
          <t>Carolina Herrera</t>
        </is>
      </c>
      <c r="B383" s="47" t="inlineStr">
        <is>
          <t>CAROLINA HERRERA KIT 212 VIP BLACK EDP 100ML + SHOWER GEL 100ML</t>
        </is>
      </c>
      <c r="C383" s="48" t="n">
        <v>100</v>
      </c>
      <c r="D383" s="49" t="inlineStr">
        <is>
          <t>Diseñador</t>
        </is>
      </c>
      <c r="E383" s="50" t="n">
        <v>98</v>
      </c>
      <c r="F383" s="51">
        <f>E383*$B$5*(1+$B$6)</f>
        <v>127400</v>
      </c>
      <c r="G383" s="51">
        <f>F383*$B$7</f>
        <v>318500</v>
      </c>
      <c r="H383" s="51">
        <f>G383-F383</f>
        <v>191100</v>
      </c>
      <c r="I383" s="52">
        <f>H383/G383</f>
        <v>0.6</v>
      </c>
      <c r="J383" s="53" t="n"/>
      <c r="K383" s="54" t="n"/>
    </row>
    <row r="384">
      <c r="A384" s="39" t="inlineStr">
        <is>
          <t>Carolina Herrera</t>
        </is>
      </c>
      <c r="B384" s="47" t="inlineStr">
        <is>
          <t>CAROLINA HERRERA KIT 212 VIP BLACK EDP 100ML+SHOWER+10ML</t>
        </is>
      </c>
      <c r="C384" s="48" t="n">
        <v>100</v>
      </c>
      <c r="D384" s="49" t="inlineStr">
        <is>
          <t>Diseñador</t>
        </is>
      </c>
      <c r="E384" s="50" t="n">
        <v>80</v>
      </c>
      <c r="F384" s="51">
        <f>E384*$B$5*(1+$B$6)</f>
        <v>104000</v>
      </c>
      <c r="G384" s="51">
        <f>F384*$B$7</f>
        <v>260000</v>
      </c>
      <c r="H384" s="51">
        <f>G384-F384</f>
        <v>156000</v>
      </c>
      <c r="I384" s="52">
        <f>H384/G384</f>
        <v>0.6</v>
      </c>
      <c r="J384" s="53" t="n"/>
      <c r="K384" s="54" t="n"/>
    </row>
    <row r="385">
      <c r="A385" s="39" t="inlineStr">
        <is>
          <t>Carolina Herrera</t>
        </is>
      </c>
      <c r="B385" s="47" t="inlineStr">
        <is>
          <t>CAROLINA HERRERA KIT 212 VIP ROSE EDP 80ML + 10ML FEM</t>
        </is>
      </c>
      <c r="C385" s="48" t="n">
        <v>80</v>
      </c>
      <c r="D385" s="49" t="inlineStr">
        <is>
          <t>Diseñador</t>
        </is>
      </c>
      <c r="E385" s="50" t="n">
        <v>80</v>
      </c>
      <c r="F385" s="51">
        <f>E385*$B$5*(1+$B$6)</f>
        <v>104000</v>
      </c>
      <c r="G385" s="51">
        <f>F385*$B$7</f>
        <v>260000</v>
      </c>
      <c r="H385" s="51">
        <f>G385-F385</f>
        <v>156000</v>
      </c>
      <c r="I385" s="52">
        <f>H385/G385</f>
        <v>0.6</v>
      </c>
      <c r="J385" s="53" t="n"/>
      <c r="K385" s="54" t="n"/>
    </row>
    <row r="386">
      <c r="A386" s="39" t="inlineStr">
        <is>
          <t>Carolina Herrera</t>
        </is>
      </c>
      <c r="B386" s="47" t="inlineStr">
        <is>
          <t>CAROLINA HERRERA KIT BAD BOY EXTREME EDP 100ML+SHOWER+10ML</t>
        </is>
      </c>
      <c r="C386" s="48" t="n">
        <v>100</v>
      </c>
      <c r="D386" s="49" t="inlineStr">
        <is>
          <t>Diseñador</t>
        </is>
      </c>
      <c r="E386" s="50" t="n">
        <v>87</v>
      </c>
      <c r="F386" s="51">
        <f>E386*$B$5*(1+$B$6)</f>
        <v>113100</v>
      </c>
      <c r="G386" s="51">
        <f>F386*$B$7</f>
        <v>282750</v>
      </c>
      <c r="H386" s="51">
        <f>G386-F386</f>
        <v>169650</v>
      </c>
      <c r="I386" s="52">
        <f>H386/G386</f>
        <v>0.6</v>
      </c>
      <c r="J386" s="53" t="n"/>
      <c r="K386" s="54" t="n"/>
    </row>
    <row r="387">
      <c r="A387" s="39" t="inlineStr">
        <is>
          <t>Carolina Herrera</t>
        </is>
      </c>
      <c r="B387" s="47" t="inlineStr">
        <is>
          <t>CAROLINA HERRERA KIT CH 212 HEROES EDP 80ML + 10ML FEM</t>
        </is>
      </c>
      <c r="C387" s="48" t="n">
        <v>80</v>
      </c>
      <c r="D387" s="49" t="inlineStr">
        <is>
          <t>Diseñador</t>
        </is>
      </c>
      <c r="E387" s="50" t="n">
        <v>85</v>
      </c>
      <c r="F387" s="51">
        <f>E387*$B$5*(1+$B$6)</f>
        <v>110500</v>
      </c>
      <c r="G387" s="51">
        <f>F387*$B$7</f>
        <v>276250</v>
      </c>
      <c r="H387" s="51">
        <f>G387-F387</f>
        <v>165750</v>
      </c>
      <c r="I387" s="52">
        <f>H387/G387</f>
        <v>0.6</v>
      </c>
      <c r="J387" s="53" t="n"/>
      <c r="K387" s="54" t="n"/>
    </row>
    <row r="388">
      <c r="A388" s="39" t="inlineStr">
        <is>
          <t>Carolina Herrera</t>
        </is>
      </c>
      <c r="B388" s="47" t="inlineStr">
        <is>
          <t>CAROLINA HERRERA KIT CH 212 MEN HEROES EDT 90ML + 10ML</t>
        </is>
      </c>
      <c r="C388" s="48" t="n">
        <v>90</v>
      </c>
      <c r="D388" s="49" t="inlineStr">
        <is>
          <t>Diseñador</t>
        </is>
      </c>
      <c r="E388" s="50" t="n">
        <v>73</v>
      </c>
      <c r="F388" s="51">
        <f>E388*$B$5*(1+$B$6)</f>
        <v>94900</v>
      </c>
      <c r="G388" s="51">
        <f>F388*$B$7</f>
        <v>237250</v>
      </c>
      <c r="H388" s="51">
        <f>G388-F388</f>
        <v>142350</v>
      </c>
      <c r="I388" s="52">
        <f>H388/G388</f>
        <v>0.6</v>
      </c>
      <c r="J388" s="53" t="n"/>
      <c r="K388" s="54" t="n"/>
    </row>
    <row r="389">
      <c r="A389" s="39" t="inlineStr">
        <is>
          <t>Carolina Herrera</t>
        </is>
      </c>
      <c r="B389" s="47" t="inlineStr">
        <is>
          <t>CAROLINA HERRERA LA BOMBA EDP 50ML FEM</t>
        </is>
      </c>
      <c r="C389" s="48" t="n">
        <v>50</v>
      </c>
      <c r="D389" s="49" t="inlineStr">
        <is>
          <t>Diseñador</t>
        </is>
      </c>
      <c r="E389" s="50" t="n">
        <v>74</v>
      </c>
      <c r="F389" s="51">
        <f>E389*$B$5*(1+$B$6)</f>
        <v>96200</v>
      </c>
      <c r="G389" s="51">
        <f>F389*$B$7</f>
        <v>240500</v>
      </c>
      <c r="H389" s="51">
        <f>G389-F389</f>
        <v>144300</v>
      </c>
      <c r="I389" s="52">
        <f>H389/G389</f>
        <v>0.6</v>
      </c>
      <c r="J389" s="53" t="n"/>
      <c r="K389" s="54" t="n"/>
    </row>
    <row r="390">
      <c r="A390" s="39" t="inlineStr">
        <is>
          <t>Carolina Herrera</t>
        </is>
      </c>
      <c r="B390" s="47" t="inlineStr">
        <is>
          <t>CAROLINA HERRERA LA BOMBA EDP 80ML</t>
        </is>
      </c>
      <c r="C390" s="48" t="n">
        <v>80</v>
      </c>
      <c r="D390" s="49" t="inlineStr">
        <is>
          <t>Diseñador</t>
        </is>
      </c>
      <c r="E390" s="50" t="n">
        <v>93</v>
      </c>
      <c r="F390" s="51">
        <f>E390*$B$5*(1+$B$6)</f>
        <v>120900</v>
      </c>
      <c r="G390" s="51">
        <f>F390*$B$7</f>
        <v>302250</v>
      </c>
      <c r="H390" s="51">
        <f>G390-F390</f>
        <v>181350</v>
      </c>
      <c r="I390" s="52">
        <f>H390/G390</f>
        <v>0.6</v>
      </c>
      <c r="J390" s="53" t="n"/>
      <c r="K390" s="54" t="n"/>
    </row>
    <row r="391">
      <c r="A391" s="39" t="inlineStr">
        <is>
          <t>Carolina Herrera</t>
        </is>
      </c>
      <c r="B391" s="47" t="inlineStr">
        <is>
          <t>CAROLINA HERRERA NEW YORK EDT 100ML FEM</t>
        </is>
      </c>
      <c r="C391" s="48" t="n">
        <v>100</v>
      </c>
      <c r="D391" s="49" t="inlineStr">
        <is>
          <t>Diseñador</t>
        </is>
      </c>
      <c r="E391" s="50" t="n">
        <v>57</v>
      </c>
      <c r="F391" s="51">
        <f>E391*$B$5*(1+$B$6)</f>
        <v>74100</v>
      </c>
      <c r="G391" s="51">
        <f>F391*$B$7</f>
        <v>185250</v>
      </c>
      <c r="H391" s="51">
        <f>G391-F391</f>
        <v>111150</v>
      </c>
      <c r="I391" s="52">
        <f>H391/G391</f>
        <v>0.6</v>
      </c>
      <c r="J391" s="53" t="n"/>
      <c r="K391" s="54" t="n"/>
    </row>
    <row r="392">
      <c r="A392" s="39" t="inlineStr">
        <is>
          <t>Carolina Herrera</t>
        </is>
      </c>
      <c r="B392" s="47" t="inlineStr">
        <is>
          <t>CAROLINA HERRERA VERY GOOD GIRL EDP 50ML</t>
        </is>
      </c>
      <c r="C392" s="48" t="n">
        <v>50</v>
      </c>
      <c r="D392" s="49" t="inlineStr">
        <is>
          <t>Diseñador</t>
        </is>
      </c>
      <c r="E392" s="50" t="n">
        <v>64</v>
      </c>
      <c r="F392" s="51">
        <f>E392*$B$5*(1+$B$6)</f>
        <v>83200</v>
      </c>
      <c r="G392" s="51">
        <f>F392*$B$7</f>
        <v>208000</v>
      </c>
      <c r="H392" s="51">
        <f>G392-F392</f>
        <v>124800</v>
      </c>
      <c r="I392" s="52">
        <f>H392/G392</f>
        <v>0.6</v>
      </c>
      <c r="J392" s="53" t="n"/>
      <c r="K392" s="54" t="n"/>
    </row>
    <row r="393">
      <c r="A393" s="39" t="inlineStr">
        <is>
          <t>Carolina Herrera</t>
        </is>
      </c>
      <c r="B393" s="47" t="inlineStr">
        <is>
          <t>CAROLINA HERRERA VERY GOOD GIRL EDP 80ML</t>
        </is>
      </c>
      <c r="C393" s="48" t="n">
        <v>80</v>
      </c>
      <c r="D393" s="49" t="inlineStr">
        <is>
          <t>Diseñador</t>
        </is>
      </c>
      <c r="E393" s="50" t="n">
        <v>77</v>
      </c>
      <c r="F393" s="51">
        <f>E393*$B$5*(1+$B$6)</f>
        <v>100100</v>
      </c>
      <c r="G393" s="51">
        <f>F393*$B$7</f>
        <v>250250</v>
      </c>
      <c r="H393" s="51">
        <f>G393-F393</f>
        <v>150150</v>
      </c>
      <c r="I393" s="52">
        <f>H393/G393</f>
        <v>0.6</v>
      </c>
      <c r="J393" s="53" t="n"/>
      <c r="K393" s="54" t="n"/>
    </row>
    <row r="394">
      <c r="A394" s="39" t="inlineStr">
        <is>
          <t>Carolina Herrera</t>
        </is>
      </c>
      <c r="B394" s="47" t="inlineStr">
        <is>
          <t>CAROLINA HERRERA VERY GOOD GIRL ELIXIR EDP 80ML</t>
        </is>
      </c>
      <c r="C394" s="48" t="n">
        <v>80</v>
      </c>
      <c r="D394" s="49" t="inlineStr">
        <is>
          <t>Diseñador</t>
        </is>
      </c>
      <c r="E394" s="50" t="n">
        <v>81.90000000000001</v>
      </c>
      <c r="F394" s="51">
        <f>E394*$B$5*(1+$B$6)</f>
        <v>106470</v>
      </c>
      <c r="G394" s="51">
        <f>F394*$B$7</f>
        <v>266175</v>
      </c>
      <c r="H394" s="51">
        <f>G394-F394</f>
        <v>159705</v>
      </c>
      <c r="I394" s="52">
        <f>H394/G394</f>
        <v>0.6</v>
      </c>
      <c r="J394" s="53" t="n"/>
      <c r="K394" s="54" t="n"/>
    </row>
    <row r="395">
      <c r="A395" s="39" t="inlineStr">
        <is>
          <t>Carolina Herrera</t>
        </is>
      </c>
      <c r="B395" s="47" t="inlineStr">
        <is>
          <t>CAROLINA HERRERA VERY GOOD GIRL GLAM PARFUM 80ML</t>
        </is>
      </c>
      <c r="C395" s="48" t="n">
        <v>80</v>
      </c>
      <c r="D395" s="49" t="inlineStr">
        <is>
          <t>Diseñador</t>
        </is>
      </c>
      <c r="E395" s="50" t="n">
        <v>76</v>
      </c>
      <c r="F395" s="51">
        <f>E395*$B$5*(1+$B$6)</f>
        <v>98800</v>
      </c>
      <c r="G395" s="51">
        <f>F395*$B$7</f>
        <v>247000</v>
      </c>
      <c r="H395" s="51">
        <f>G395-F395</f>
        <v>148200</v>
      </c>
      <c r="I395" s="52">
        <f>H395/G395</f>
        <v>0.6</v>
      </c>
      <c r="J395" s="53" t="n"/>
      <c r="K395" s="54" t="n"/>
    </row>
    <row r="396">
      <c r="A396" s="39" t="inlineStr">
        <is>
          <t>Carolina Herrera</t>
        </is>
      </c>
      <c r="B396" s="47" t="inlineStr">
        <is>
          <t>TESTER CAROLINA HERRERA 212 HEROES FOREVER YOUNG EDP 80ML FEM</t>
        </is>
      </c>
      <c r="C396" s="48" t="n">
        <v>80</v>
      </c>
      <c r="D396" s="49" t="inlineStr">
        <is>
          <t>Tester</t>
        </is>
      </c>
      <c r="E396" s="50" t="n">
        <v>59</v>
      </c>
      <c r="F396" s="51">
        <f>E396*$B$5*(1+$B$6)</f>
        <v>76700</v>
      </c>
      <c r="G396" s="51">
        <f>F396*$B$7</f>
        <v>191750</v>
      </c>
      <c r="H396" s="51">
        <f>G396-F396</f>
        <v>115050</v>
      </c>
      <c r="I396" s="52">
        <f>H396/G396</f>
        <v>0.6</v>
      </c>
      <c r="J396" s="53" t="n"/>
      <c r="K396" s="54" t="n"/>
    </row>
    <row r="397">
      <c r="A397" s="39" t="inlineStr">
        <is>
          <t>Carolina Herrera</t>
        </is>
      </c>
      <c r="B397" s="47" t="inlineStr">
        <is>
          <t>TESTER CAROLINA HERRERA 212 HEROES MEN FOREVER YOUNG EDT 90ML MASC</t>
        </is>
      </c>
      <c r="C397" s="48" t="n">
        <v>90</v>
      </c>
      <c r="D397" s="49" t="inlineStr">
        <is>
          <t>Tester</t>
        </is>
      </c>
      <c r="E397" s="50" t="n">
        <v>45.5</v>
      </c>
      <c r="F397" s="51">
        <f>E397*$B$5*(1+$B$6)</f>
        <v>59150</v>
      </c>
      <c r="G397" s="51">
        <f>F397*$B$7</f>
        <v>147875</v>
      </c>
      <c r="H397" s="51">
        <f>G397-F397</f>
        <v>88725</v>
      </c>
      <c r="I397" s="52">
        <f>H397/G397</f>
        <v>0.6</v>
      </c>
      <c r="J397" s="53" t="n"/>
      <c r="K397" s="54" t="n"/>
    </row>
    <row r="398">
      <c r="A398" s="39" t="inlineStr">
        <is>
          <t>Carolina Herrera</t>
        </is>
      </c>
      <c r="B398" s="47" t="inlineStr">
        <is>
          <t>TESTER CAROLINA HERRERA 212 ILNY VIP ROSE EDP 80ML FEM</t>
        </is>
      </c>
      <c r="C398" s="48" t="n">
        <v>80</v>
      </c>
      <c r="D398" s="49" t="inlineStr">
        <is>
          <t>Tester</t>
        </is>
      </c>
      <c r="E398" s="50" t="n">
        <v>54</v>
      </c>
      <c r="F398" s="51">
        <f>E398*$B$5*(1+$B$6)</f>
        <v>70200</v>
      </c>
      <c r="G398" s="51">
        <f>F398*$B$7</f>
        <v>175500</v>
      </c>
      <c r="H398" s="51">
        <f>G398-F398</f>
        <v>105300</v>
      </c>
      <c r="I398" s="52">
        <f>H398/G398</f>
        <v>0.6</v>
      </c>
      <c r="J398" s="53" t="n"/>
      <c r="K398" s="54" t="n"/>
    </row>
    <row r="399">
      <c r="A399" s="39" t="inlineStr">
        <is>
          <t>Carolina Herrera</t>
        </is>
      </c>
      <c r="B399" s="47" t="inlineStr">
        <is>
          <t>TESTER CAROLINA HERRERA 212 MEN EDT 100ML MASC</t>
        </is>
      </c>
      <c r="C399" s="48" t="n">
        <v>100</v>
      </c>
      <c r="D399" s="49" t="inlineStr">
        <is>
          <t>Tester</t>
        </is>
      </c>
      <c r="E399" s="50" t="n">
        <v>52</v>
      </c>
      <c r="F399" s="51">
        <f>E399*$B$5*(1+$B$6)</f>
        <v>67600</v>
      </c>
      <c r="G399" s="51">
        <f>F399*$B$7</f>
        <v>169000</v>
      </c>
      <c r="H399" s="51">
        <f>G399-F399</f>
        <v>101400</v>
      </c>
      <c r="I399" s="52">
        <f>H399/G399</f>
        <v>0.6</v>
      </c>
      <c r="J399" s="53" t="n"/>
      <c r="K399" s="54" t="n"/>
    </row>
    <row r="400">
      <c r="A400" s="39" t="inlineStr">
        <is>
          <t>Carolina Herrera</t>
        </is>
      </c>
      <c r="B400" s="47" t="inlineStr">
        <is>
          <t>TESTER CAROLINA HERRERA 212 MEN MTV EDT 100ML MASC</t>
        </is>
      </c>
      <c r="C400" s="48" t="n">
        <v>100</v>
      </c>
      <c r="D400" s="49" t="inlineStr">
        <is>
          <t>Tester</t>
        </is>
      </c>
      <c r="E400" s="50" t="n">
        <v>52</v>
      </c>
      <c r="F400" s="51">
        <f>E400*$B$5*(1+$B$6)</f>
        <v>67600</v>
      </c>
      <c r="G400" s="51">
        <f>F400*$B$7</f>
        <v>169000</v>
      </c>
      <c r="H400" s="51">
        <f>G400-F400</f>
        <v>101400</v>
      </c>
      <c r="I400" s="52">
        <f>H400/G400</f>
        <v>0.6</v>
      </c>
      <c r="J400" s="53" t="n"/>
      <c r="K400" s="54" t="n"/>
    </row>
    <row r="401">
      <c r="A401" s="39" t="inlineStr">
        <is>
          <t>Carolina Herrera</t>
        </is>
      </c>
      <c r="B401" s="47" t="inlineStr">
        <is>
          <t>TESTER CAROLINA HERRERA 212 NYC EDT 100ML FEM</t>
        </is>
      </c>
      <c r="C401" s="48" t="n">
        <v>100</v>
      </c>
      <c r="D401" s="49" t="inlineStr">
        <is>
          <t>Tester</t>
        </is>
      </c>
      <c r="E401" s="50" t="n">
        <v>55</v>
      </c>
      <c r="F401" s="51">
        <f>E401*$B$5*(1+$B$6)</f>
        <v>71500</v>
      </c>
      <c r="G401" s="51">
        <f>F401*$B$7</f>
        <v>178750</v>
      </c>
      <c r="H401" s="51">
        <f>G401-F401</f>
        <v>107250</v>
      </c>
      <c r="I401" s="52">
        <f>H401/G401</f>
        <v>0.6</v>
      </c>
      <c r="J401" s="53" t="n"/>
      <c r="K401" s="54" t="n"/>
    </row>
    <row r="402">
      <c r="A402" s="39" t="inlineStr">
        <is>
          <t>Carolina Herrera</t>
        </is>
      </c>
      <c r="B402" s="47" t="inlineStr">
        <is>
          <t>TESTER CAROLINA HERRERA 212 VIP BLACK EDP 100ML MASC</t>
        </is>
      </c>
      <c r="C402" s="48" t="n">
        <v>100</v>
      </c>
      <c r="D402" s="49" t="inlineStr">
        <is>
          <t>Tester</t>
        </is>
      </c>
      <c r="E402" s="50" t="n">
        <v>55</v>
      </c>
      <c r="F402" s="51">
        <f>E402*$B$5*(1+$B$6)</f>
        <v>71500</v>
      </c>
      <c r="G402" s="51">
        <f>F402*$B$7</f>
        <v>178750</v>
      </c>
      <c r="H402" s="51">
        <f>G402-F402</f>
        <v>107250</v>
      </c>
      <c r="I402" s="52">
        <f>H402/G402</f>
        <v>0.6</v>
      </c>
      <c r="J402" s="53" t="n"/>
      <c r="K402" s="54" t="n"/>
    </row>
    <row r="403">
      <c r="A403" s="39" t="inlineStr">
        <is>
          <t>Carolina Herrera</t>
        </is>
      </c>
      <c r="B403" s="47" t="inlineStr">
        <is>
          <t>TESTER CAROLINA HERRERA 212 VIP BLACK ILNY EDP 100ML MASC</t>
        </is>
      </c>
      <c r="C403" s="48" t="n">
        <v>100</v>
      </c>
      <c r="D403" s="49" t="inlineStr">
        <is>
          <t>Tester</t>
        </is>
      </c>
      <c r="E403" s="50" t="n">
        <v>42</v>
      </c>
      <c r="F403" s="51">
        <f>E403*$B$5*(1+$B$6)</f>
        <v>54600</v>
      </c>
      <c r="G403" s="51">
        <f>F403*$B$7</f>
        <v>136500</v>
      </c>
      <c r="H403" s="51">
        <f>G403-F403</f>
        <v>81900</v>
      </c>
      <c r="I403" s="52">
        <f>H403/G403</f>
        <v>0.6</v>
      </c>
      <c r="J403" s="53" t="n"/>
      <c r="K403" s="54" t="n"/>
    </row>
    <row r="404">
      <c r="A404" s="39" t="inlineStr">
        <is>
          <t>Carolina Herrera</t>
        </is>
      </c>
      <c r="B404" s="47" t="inlineStr">
        <is>
          <t>TESTER CAROLINA HERRERA 212 VIP EDP 80ML FEM</t>
        </is>
      </c>
      <c r="C404" s="48" t="n">
        <v>80</v>
      </c>
      <c r="D404" s="49" t="inlineStr">
        <is>
          <t>Tester</t>
        </is>
      </c>
      <c r="E404" s="50" t="n">
        <v>62</v>
      </c>
      <c r="F404" s="51">
        <f>E404*$B$5*(1+$B$6)</f>
        <v>80600</v>
      </c>
      <c r="G404" s="51">
        <f>F404*$B$7</f>
        <v>201500</v>
      </c>
      <c r="H404" s="51">
        <f>G404-F404</f>
        <v>120900</v>
      </c>
      <c r="I404" s="52">
        <f>H404/G404</f>
        <v>0.6</v>
      </c>
      <c r="J404" s="53" t="n"/>
      <c r="K404" s="54" t="n"/>
    </row>
    <row r="405">
      <c r="A405" s="39" t="inlineStr">
        <is>
          <t>Carolina Herrera</t>
        </is>
      </c>
      <c r="B405" s="47" t="inlineStr">
        <is>
          <t>TESTER CAROLINA HERRERA 212 VIP MEN EDT 100ML MASC</t>
        </is>
      </c>
      <c r="C405" s="48" t="n">
        <v>100</v>
      </c>
      <c r="D405" s="49" t="inlineStr">
        <is>
          <t>Tester</t>
        </is>
      </c>
      <c r="E405" s="50" t="n">
        <v>49</v>
      </c>
      <c r="F405" s="51">
        <f>E405*$B$5*(1+$B$6)</f>
        <v>63700</v>
      </c>
      <c r="G405" s="51">
        <f>F405*$B$7</f>
        <v>159250</v>
      </c>
      <c r="H405" s="51">
        <f>G405-F405</f>
        <v>95550</v>
      </c>
      <c r="I405" s="52">
        <f>H405/G405</f>
        <v>0.6</v>
      </c>
      <c r="J405" s="53" t="n"/>
      <c r="K405" s="54" t="n"/>
    </row>
    <row r="406">
      <c r="A406" s="39" t="inlineStr">
        <is>
          <t>Carolina Herrera</t>
        </is>
      </c>
      <c r="B406" s="47" t="inlineStr">
        <is>
          <t>TESTER CAROLINA HERRERA 212 VIP ROSE EDP 80ML FEM C/T</t>
        </is>
      </c>
      <c r="C406" s="48" t="n">
        <v>80</v>
      </c>
      <c r="D406" s="49" t="inlineStr">
        <is>
          <t>Tester</t>
        </is>
      </c>
      <c r="E406" s="50" t="n">
        <v>58</v>
      </c>
      <c r="F406" s="51">
        <f>E406*$B$5*(1+$B$6)</f>
        <v>75400</v>
      </c>
      <c r="G406" s="51">
        <f>F406*$B$7</f>
        <v>188500</v>
      </c>
      <c r="H406" s="51">
        <f>G406-F406</f>
        <v>113100</v>
      </c>
      <c r="I406" s="52">
        <f>H406/G406</f>
        <v>0.6</v>
      </c>
      <c r="J406" s="53" t="n"/>
      <c r="K406" s="54" t="n"/>
    </row>
    <row r="407">
      <c r="A407" s="39" t="inlineStr">
        <is>
          <t>Carolina Herrera</t>
        </is>
      </c>
      <c r="B407" s="47" t="inlineStr">
        <is>
          <t>TESTER CAROLINA HERRERA BAD BOY COBALT EDP 100ML MASC</t>
        </is>
      </c>
      <c r="C407" s="48" t="n">
        <v>100</v>
      </c>
      <c r="D407" s="49" t="inlineStr">
        <is>
          <t>Tester</t>
        </is>
      </c>
      <c r="E407" s="50" t="n">
        <v>65</v>
      </c>
      <c r="F407" s="51">
        <f>E407*$B$5*(1+$B$6)</f>
        <v>84500</v>
      </c>
      <c r="G407" s="51">
        <f>F407*$B$7</f>
        <v>211250</v>
      </c>
      <c r="H407" s="51">
        <f>G407-F407</f>
        <v>126750</v>
      </c>
      <c r="I407" s="52">
        <f>H407/G407</f>
        <v>0.6</v>
      </c>
      <c r="J407" s="53" t="n"/>
      <c r="K407" s="54" t="n"/>
    </row>
    <row r="408">
      <c r="A408" s="39" t="inlineStr">
        <is>
          <t>Carolina Herrera</t>
        </is>
      </c>
      <c r="B408" s="47" t="inlineStr">
        <is>
          <t>TESTER CAROLINA HERRERA BAD BOY EDT 100ML MASC</t>
        </is>
      </c>
      <c r="C408" s="48" t="n">
        <v>100</v>
      </c>
      <c r="D408" s="49" t="inlineStr">
        <is>
          <t>Tester</t>
        </is>
      </c>
      <c r="E408" s="50" t="n">
        <v>49</v>
      </c>
      <c r="F408" s="51">
        <f>E408*$B$5*(1+$B$6)</f>
        <v>63700</v>
      </c>
      <c r="G408" s="51">
        <f>F408*$B$7</f>
        <v>159250</v>
      </c>
      <c r="H408" s="51">
        <f>G408-F408</f>
        <v>95550</v>
      </c>
      <c r="I408" s="52">
        <f>H408/G408</f>
        <v>0.6</v>
      </c>
      <c r="J408" s="53" t="n"/>
      <c r="K408" s="54" t="n"/>
    </row>
    <row r="409">
      <c r="A409" s="39" t="inlineStr">
        <is>
          <t>Carolina Herrera</t>
        </is>
      </c>
      <c r="B409" s="47" t="inlineStr">
        <is>
          <t>TESTER CAROLINA HERRERA BAD BOY ELIXIR 100ML MASC</t>
        </is>
      </c>
      <c r="C409" s="48" t="n">
        <v>100</v>
      </c>
      <c r="D409" s="49" t="inlineStr">
        <is>
          <t>Tester</t>
        </is>
      </c>
      <c r="E409" s="50" t="n">
        <v>60</v>
      </c>
      <c r="F409" s="51">
        <f>E409*$B$5*(1+$B$6)</f>
        <v>78000</v>
      </c>
      <c r="G409" s="51">
        <f>F409*$B$7</f>
        <v>195000</v>
      </c>
      <c r="H409" s="51">
        <f>G409-F409</f>
        <v>117000</v>
      </c>
      <c r="I409" s="52">
        <f>H409/G409</f>
        <v>0.6</v>
      </c>
      <c r="J409" s="53" t="n"/>
      <c r="K409" s="54" t="n"/>
    </row>
    <row r="410">
      <c r="A410" s="39" t="inlineStr">
        <is>
          <t>Carolina Herrera</t>
        </is>
      </c>
      <c r="B410" s="47" t="inlineStr">
        <is>
          <t>TESTER CAROLINA HERRERA BAD BOY EXTREME 100ML MASC</t>
        </is>
      </c>
      <c r="C410" s="48" t="n">
        <v>100</v>
      </c>
      <c r="D410" s="49" t="inlineStr">
        <is>
          <t>Tester</t>
        </is>
      </c>
      <c r="E410" s="50" t="n">
        <v>53</v>
      </c>
      <c r="F410" s="51">
        <f>E410*$B$5*(1+$B$6)</f>
        <v>68900</v>
      </c>
      <c r="G410" s="51">
        <f>F410*$B$7</f>
        <v>172250</v>
      </c>
      <c r="H410" s="51">
        <f>G410-F410</f>
        <v>103350</v>
      </c>
      <c r="I410" s="52">
        <f>H410/G410</f>
        <v>0.6</v>
      </c>
      <c r="J410" s="53" t="n"/>
      <c r="K410" s="54" t="n"/>
    </row>
    <row r="411">
      <c r="A411" s="39" t="inlineStr">
        <is>
          <t>Carolina Herrera</t>
        </is>
      </c>
      <c r="B411" s="47" t="inlineStr">
        <is>
          <t>TESTER CAROLINA HERRERA CH EDT 100ML FEM C/T</t>
        </is>
      </c>
      <c r="C411" s="48" t="n">
        <v>100</v>
      </c>
      <c r="D411" s="49" t="inlineStr">
        <is>
          <t>Tester</t>
        </is>
      </c>
      <c r="E411" s="50" t="n">
        <v>60</v>
      </c>
      <c r="F411" s="51">
        <f>E411*$B$5*(1+$B$6)</f>
        <v>78000</v>
      </c>
      <c r="G411" s="51">
        <f>F411*$B$7</f>
        <v>195000</v>
      </c>
      <c r="H411" s="51">
        <f>G411-F411</f>
        <v>117000</v>
      </c>
      <c r="I411" s="52">
        <f>H411/G411</f>
        <v>0.6</v>
      </c>
      <c r="J411" s="53" t="n"/>
      <c r="K411" s="54" t="n"/>
    </row>
    <row r="412">
      <c r="A412" s="39" t="inlineStr">
        <is>
          <t>Carolina Herrera</t>
        </is>
      </c>
      <c r="B412" s="47" t="inlineStr">
        <is>
          <t>TESTER CAROLINA HERRERA CH MEN EDT 100ML MASC</t>
        </is>
      </c>
      <c r="C412" s="48" t="n">
        <v>100</v>
      </c>
      <c r="D412" s="49" t="inlineStr">
        <is>
          <t>Tester</t>
        </is>
      </c>
      <c r="E412" s="50" t="n">
        <v>52</v>
      </c>
      <c r="F412" s="51">
        <f>E412*$B$5*(1+$B$6)</f>
        <v>67600</v>
      </c>
      <c r="G412" s="51">
        <f>F412*$B$7</f>
        <v>169000</v>
      </c>
      <c r="H412" s="51">
        <f>G412-F412</f>
        <v>101400</v>
      </c>
      <c r="I412" s="52">
        <f>H412/G412</f>
        <v>0.6</v>
      </c>
      <c r="J412" s="53" t="n"/>
      <c r="K412" s="54" t="n"/>
    </row>
    <row r="413">
      <c r="A413" s="39" t="inlineStr">
        <is>
          <t>Carolina Herrera</t>
        </is>
      </c>
      <c r="B413" s="47" t="inlineStr">
        <is>
          <t>TESTER CAROLINA HERRERA CH MEN PASION EDP 100ML MASC</t>
        </is>
      </c>
      <c r="C413" s="48" t="n">
        <v>100</v>
      </c>
      <c r="D413" s="49" t="inlineStr">
        <is>
          <t>Tester</t>
        </is>
      </c>
      <c r="E413" s="50" t="n">
        <v>50</v>
      </c>
      <c r="F413" s="51">
        <f>E413*$B$5*(1+$B$6)</f>
        <v>65000</v>
      </c>
      <c r="G413" s="51">
        <f>F413*$B$7</f>
        <v>162500</v>
      </c>
      <c r="H413" s="51">
        <f>G413-F413</f>
        <v>97500</v>
      </c>
      <c r="I413" s="52">
        <f>H413/G413</f>
        <v>0.6</v>
      </c>
      <c r="J413" s="53" t="n"/>
      <c r="K413" s="54" t="n"/>
    </row>
    <row r="414">
      <c r="A414" s="39" t="inlineStr">
        <is>
          <t>Carolina Herrera</t>
        </is>
      </c>
      <c r="B414" s="47" t="inlineStr">
        <is>
          <t>TESTER CAROLINA HERRERA GOOD GIRL BLUSH 80ML</t>
        </is>
      </c>
      <c r="C414" s="48" t="n">
        <v>80</v>
      </c>
      <c r="D414" s="49" t="inlineStr">
        <is>
          <t>Tester</t>
        </is>
      </c>
      <c r="E414" s="50" t="n">
        <v>75</v>
      </c>
      <c r="F414" s="51">
        <f>E414*$B$5*(1+$B$6)</f>
        <v>97500</v>
      </c>
      <c r="G414" s="51">
        <f>F414*$B$7</f>
        <v>243750</v>
      </c>
      <c r="H414" s="51">
        <f>G414-F414</f>
        <v>146250</v>
      </c>
      <c r="I414" s="52">
        <f>H414/G414</f>
        <v>0.6</v>
      </c>
      <c r="J414" s="53" t="n"/>
      <c r="K414" s="54" t="n"/>
    </row>
    <row r="415">
      <c r="A415" s="39" t="inlineStr">
        <is>
          <t>Carolina Herrera</t>
        </is>
      </c>
      <c r="B415" s="47" t="inlineStr">
        <is>
          <t>TESTER CAROLINA HERRERA GOOD GIRL BLUSH ELIXIR 80ML</t>
        </is>
      </c>
      <c r="C415" s="48" t="n">
        <v>80</v>
      </c>
      <c r="D415" s="49" t="inlineStr">
        <is>
          <t>Tester</t>
        </is>
      </c>
      <c r="E415" s="50" t="n">
        <v>65</v>
      </c>
      <c r="F415" s="51">
        <f>E415*$B$5*(1+$B$6)</f>
        <v>84500</v>
      </c>
      <c r="G415" s="51">
        <f>F415*$B$7</f>
        <v>211250</v>
      </c>
      <c r="H415" s="51">
        <f>G415-F415</f>
        <v>126750</v>
      </c>
      <c r="I415" s="52">
        <f>H415/G415</f>
        <v>0.6</v>
      </c>
      <c r="J415" s="53" t="n"/>
      <c r="K415" s="54" t="n"/>
    </row>
    <row r="416">
      <c r="A416" s="39" t="inlineStr">
        <is>
          <t>Carolina Herrera</t>
        </is>
      </c>
      <c r="B416" s="47" t="inlineStr">
        <is>
          <t>TESTER CAROLINA HERRERA GOOD GIRL EDP 80ML FEM</t>
        </is>
      </c>
      <c r="C416" s="48" t="n">
        <v>80</v>
      </c>
      <c r="D416" s="49" t="inlineStr">
        <is>
          <t>Tester</t>
        </is>
      </c>
      <c r="E416" s="50" t="n">
        <v>57</v>
      </c>
      <c r="F416" s="51">
        <f>E416*$B$5*(1+$B$6)</f>
        <v>74100</v>
      </c>
      <c r="G416" s="51">
        <f>F416*$B$7</f>
        <v>185250</v>
      </c>
      <c r="H416" s="51">
        <f>G416-F416</f>
        <v>111150</v>
      </c>
      <c r="I416" s="52">
        <f>H416/G416</f>
        <v>0.6</v>
      </c>
      <c r="J416" s="53" t="n"/>
      <c r="K416" s="54" t="n"/>
    </row>
    <row r="417">
      <c r="A417" s="39" t="inlineStr">
        <is>
          <t>Carolina Herrera</t>
        </is>
      </c>
      <c r="B417" s="47" t="inlineStr">
        <is>
          <t>TESTER CAROLINA HERRERA LA BOMBA EDP 80ML FEM C/T</t>
        </is>
      </c>
      <c r="C417" s="48" t="n">
        <v>80</v>
      </c>
      <c r="D417" s="49" t="inlineStr">
        <is>
          <t>Tester</t>
        </is>
      </c>
      <c r="E417" s="50" t="n">
        <v>85</v>
      </c>
      <c r="F417" s="51">
        <f>E417*$B$5*(1+$B$6)</f>
        <v>110500</v>
      </c>
      <c r="G417" s="51">
        <f>F417*$B$7</f>
        <v>276250</v>
      </c>
      <c r="H417" s="51">
        <f>G417-F417</f>
        <v>165750</v>
      </c>
      <c r="I417" s="52">
        <f>H417/G417</f>
        <v>0.6</v>
      </c>
      <c r="J417" s="53" t="n"/>
      <c r="K417" s="54" t="n"/>
    </row>
    <row r="418">
      <c r="A418" s="39" t="inlineStr">
        <is>
          <t>Carolina Herrera</t>
        </is>
      </c>
      <c r="B418" s="47" t="inlineStr">
        <is>
          <t>TESTER CAROLINA HERRERA VERY GOOD GIRL EDP 80ML FEM</t>
        </is>
      </c>
      <c r="C418" s="48" t="n">
        <v>80</v>
      </c>
      <c r="D418" s="49" t="inlineStr">
        <is>
          <t>Tester</t>
        </is>
      </c>
      <c r="E418" s="50" t="n">
        <v>61</v>
      </c>
      <c r="F418" s="51">
        <f>E418*$B$5*(1+$B$6)</f>
        <v>79300</v>
      </c>
      <c r="G418" s="51">
        <f>F418*$B$7</f>
        <v>198250</v>
      </c>
      <c r="H418" s="51">
        <f>G418-F418</f>
        <v>118950</v>
      </c>
      <c r="I418" s="52">
        <f>H418/G418</f>
        <v>0.6</v>
      </c>
      <c r="J418" s="53" t="n"/>
      <c r="K418" s="54" t="n"/>
    </row>
    <row r="419">
      <c r="A419" s="39" t="inlineStr">
        <is>
          <t>Carolina Herrera</t>
        </is>
      </c>
      <c r="B419" s="47" t="inlineStr">
        <is>
          <t>TESTER CAROLINA HERRERA VERY GOOD GIRL GLAM EDP 80ML FEM</t>
        </is>
      </c>
      <c r="C419" s="48" t="n">
        <v>80</v>
      </c>
      <c r="D419" s="49" t="inlineStr">
        <is>
          <t>Tester</t>
        </is>
      </c>
      <c r="E419" s="50" t="n">
        <v>56</v>
      </c>
      <c r="F419" s="51">
        <f>E419*$B$5*(1+$B$6)</f>
        <v>72800</v>
      </c>
      <c r="G419" s="51">
        <f>F419*$B$7</f>
        <v>182000</v>
      </c>
      <c r="H419" s="51">
        <f>G419-F419</f>
        <v>109200</v>
      </c>
      <c r="I419" s="52">
        <f>H419/G419</f>
        <v>0.6</v>
      </c>
      <c r="J419" s="53" t="n"/>
      <c r="K419" s="54" t="n"/>
    </row>
    <row r="420">
      <c r="A420" s="39" t="inlineStr">
        <is>
          <t>Chabaud Maison de Parfum</t>
        </is>
      </c>
      <c r="B420" s="47" t="inlineStr">
        <is>
          <t>CHABAUD MAISON DE PARFUM LAIT DE BISCUIT EDT 100ML</t>
        </is>
      </c>
      <c r="C420" s="48" t="n">
        <v>100</v>
      </c>
      <c r="D420" s="49" t="inlineStr">
        <is>
          <t>Nicho</t>
        </is>
      </c>
      <c r="E420" s="50" t="n">
        <v>170</v>
      </c>
      <c r="F420" s="51">
        <f>E420*$B$5*(1+$B$6)</f>
        <v>221000</v>
      </c>
      <c r="G420" s="51">
        <f>F420*$B$7</f>
        <v>552500</v>
      </c>
      <c r="H420" s="51">
        <f>G420-F420</f>
        <v>331500</v>
      </c>
      <c r="I420" s="52">
        <f>H420/G420</f>
        <v>0.6</v>
      </c>
      <c r="J420" s="53" t="n"/>
      <c r="K420" s="54" t="n"/>
    </row>
    <row r="421">
      <c r="A421" s="39" t="inlineStr">
        <is>
          <t>Chanel</t>
        </is>
      </c>
      <c r="B421" s="47" t="inlineStr">
        <is>
          <t>CHANEL ALLURE HOMME SPORT EAU EXTREME 100ML</t>
        </is>
      </c>
      <c r="C421" s="48" t="n">
        <v>100</v>
      </c>
      <c r="D421" s="49" t="inlineStr">
        <is>
          <t>Diseñador</t>
        </is>
      </c>
      <c r="E421" s="50" t="n">
        <v>140</v>
      </c>
      <c r="F421" s="51">
        <f>E421*$B$5*(1+$B$6)</f>
        <v>182000</v>
      </c>
      <c r="G421" s="51">
        <f>F421*$B$7</f>
        <v>455000</v>
      </c>
      <c r="H421" s="51">
        <f>G421-F421</f>
        <v>273000</v>
      </c>
      <c r="I421" s="52">
        <f>H421/G421</f>
        <v>0.6</v>
      </c>
      <c r="J421" s="53" t="n"/>
      <c r="K421" s="54" t="n"/>
    </row>
    <row r="422">
      <c r="A422" s="39" t="inlineStr">
        <is>
          <t>Chanel</t>
        </is>
      </c>
      <c r="B422" s="47" t="inlineStr">
        <is>
          <t>CHANEL ALLURE HOMME SPORT EDT 100ML</t>
        </is>
      </c>
      <c r="C422" s="48" t="n">
        <v>100</v>
      </c>
      <c r="D422" s="49" t="inlineStr">
        <is>
          <t>Diseñador</t>
        </is>
      </c>
      <c r="E422" s="50" t="n">
        <v>120</v>
      </c>
      <c r="F422" s="51">
        <f>E422*$B$5*(1+$B$6)</f>
        <v>156000</v>
      </c>
      <c r="G422" s="51">
        <f>F422*$B$7</f>
        <v>390000</v>
      </c>
      <c r="H422" s="51">
        <f>G422-F422</f>
        <v>234000</v>
      </c>
      <c r="I422" s="52">
        <f>H422/G422</f>
        <v>0.6</v>
      </c>
      <c r="J422" s="53" t="n"/>
      <c r="K422" s="54" t="n"/>
    </row>
    <row r="423">
      <c r="A423" s="39" t="inlineStr">
        <is>
          <t>Chanel</t>
        </is>
      </c>
      <c r="B423" s="47" t="inlineStr">
        <is>
          <t>CHANEL ALLURE HOMME SPORT EDT 150ML</t>
        </is>
      </c>
      <c r="C423" s="48" t="n">
        <v>150</v>
      </c>
      <c r="D423" s="49" t="inlineStr">
        <is>
          <t>Diseñador</t>
        </is>
      </c>
      <c r="E423" s="50" t="n">
        <v>150</v>
      </c>
      <c r="F423" s="51">
        <f>E423*$B$5*(1+$B$6)</f>
        <v>195000</v>
      </c>
      <c r="G423" s="51">
        <f>F423*$B$7</f>
        <v>487500</v>
      </c>
      <c r="H423" s="51">
        <f>G423-F423</f>
        <v>292500</v>
      </c>
      <c r="I423" s="52">
        <f>H423/G423</f>
        <v>0.6</v>
      </c>
      <c r="J423" s="53" t="n"/>
      <c r="K423" s="54" t="n"/>
    </row>
    <row r="424">
      <c r="A424" s="39" t="inlineStr">
        <is>
          <t>Chanel</t>
        </is>
      </c>
      <c r="B424" s="47" t="inlineStr">
        <is>
          <t>CHANEL ALLURE HOMME SPORT EDT 50ML</t>
        </is>
      </c>
      <c r="C424" s="48" t="n">
        <v>50</v>
      </c>
      <c r="D424" s="49" t="inlineStr">
        <is>
          <t>Diseñador</t>
        </is>
      </c>
      <c r="E424" s="50" t="n">
        <v>94</v>
      </c>
      <c r="F424" s="51">
        <f>E424*$B$5*(1+$B$6)</f>
        <v>122200</v>
      </c>
      <c r="G424" s="51">
        <f>F424*$B$7</f>
        <v>305500</v>
      </c>
      <c r="H424" s="51">
        <f>G424-F424</f>
        <v>183300</v>
      </c>
      <c r="I424" s="52">
        <f>H424/G424</f>
        <v>0.6</v>
      </c>
      <c r="J424" s="53" t="n"/>
      <c r="K424" s="54" t="n"/>
    </row>
    <row r="425">
      <c r="A425" s="39" t="inlineStr">
        <is>
          <t>Chanel</t>
        </is>
      </c>
      <c r="B425" s="47" t="inlineStr">
        <is>
          <t>CHANEL ALLURE HOMME SPORT SUPERLEGGERA EDP 100ML</t>
        </is>
      </c>
      <c r="C425" s="48" t="n">
        <v>100</v>
      </c>
      <c r="D425" s="49" t="inlineStr">
        <is>
          <t>Diseñador</t>
        </is>
      </c>
      <c r="E425" s="50" t="n">
        <v>144.5</v>
      </c>
      <c r="F425" s="51">
        <f>E425*$B$5*(1+$B$6)</f>
        <v>187850</v>
      </c>
      <c r="G425" s="51">
        <f>F425*$B$7</f>
        <v>469625</v>
      </c>
      <c r="H425" s="51">
        <f>G425-F425</f>
        <v>281775</v>
      </c>
      <c r="I425" s="52">
        <f>H425/G425</f>
        <v>0.6</v>
      </c>
      <c r="J425" s="53" t="n"/>
      <c r="K425" s="54" t="n"/>
    </row>
    <row r="426">
      <c r="A426" s="39" t="inlineStr">
        <is>
          <t>Chanel</t>
        </is>
      </c>
      <c r="B426" s="47" t="inlineStr">
        <is>
          <t>CHANEL BLEU DE CHANEL EDP 100ML</t>
        </is>
      </c>
      <c r="C426" s="48" t="n">
        <v>100</v>
      </c>
      <c r="D426" s="49" t="inlineStr">
        <is>
          <t>Diseñador</t>
        </is>
      </c>
      <c r="E426" s="50" t="n">
        <v>146</v>
      </c>
      <c r="F426" s="51">
        <f>E426*$B$5*(1+$B$6)</f>
        <v>189800</v>
      </c>
      <c r="G426" s="51">
        <f>F426*$B$7</f>
        <v>474500</v>
      </c>
      <c r="H426" s="51">
        <f>G426-F426</f>
        <v>284700</v>
      </c>
      <c r="I426" s="52">
        <f>H426/G426</f>
        <v>0.6</v>
      </c>
      <c r="J426" s="53" t="n"/>
      <c r="K426" s="54" t="n"/>
    </row>
    <row r="427">
      <c r="A427" s="39" t="inlineStr">
        <is>
          <t>Chanel</t>
        </is>
      </c>
      <c r="B427" s="47" t="inlineStr">
        <is>
          <t>CHANEL BLEU DE CHANEL EDT 100ML</t>
        </is>
      </c>
      <c r="C427" s="48" t="n">
        <v>100</v>
      </c>
      <c r="D427" s="49" t="inlineStr">
        <is>
          <t>Diseñador</t>
        </is>
      </c>
      <c r="E427" s="50" t="n">
        <v>120</v>
      </c>
      <c r="F427" s="51">
        <f>E427*$B$5*(1+$B$6)</f>
        <v>156000</v>
      </c>
      <c r="G427" s="51">
        <f>F427*$B$7</f>
        <v>390000</v>
      </c>
      <c r="H427" s="51">
        <f>G427-F427</f>
        <v>234000</v>
      </c>
      <c r="I427" s="52">
        <f>H427/G427</f>
        <v>0.6</v>
      </c>
      <c r="J427" s="53" t="n"/>
      <c r="K427" s="54" t="n"/>
    </row>
    <row r="428">
      <c r="A428" s="39" t="inlineStr">
        <is>
          <t>Chanel</t>
        </is>
      </c>
      <c r="B428" s="47" t="inlineStr">
        <is>
          <t>CHANEL BLEU DE CHANEL EDT 50ML</t>
        </is>
      </c>
      <c r="C428" s="48" t="n">
        <v>50</v>
      </c>
      <c r="D428" s="49" t="inlineStr">
        <is>
          <t>Diseñador</t>
        </is>
      </c>
      <c r="E428" s="50" t="n">
        <v>92</v>
      </c>
      <c r="F428" s="51">
        <f>E428*$B$5*(1+$B$6)</f>
        <v>119600</v>
      </c>
      <c r="G428" s="51">
        <f>F428*$B$7</f>
        <v>299000</v>
      </c>
      <c r="H428" s="51">
        <f>G428-F428</f>
        <v>179400</v>
      </c>
      <c r="I428" s="52">
        <f>H428/G428</f>
        <v>0.6</v>
      </c>
      <c r="J428" s="53" t="n"/>
      <c r="K428" s="54" t="n"/>
    </row>
    <row r="429">
      <c r="A429" s="39" t="inlineStr">
        <is>
          <t>Chanel</t>
        </is>
      </c>
      <c r="B429" s="47" t="inlineStr">
        <is>
          <t>CHANEL BLEU L' EXCLUSIF PARFUM 100ML</t>
        </is>
      </c>
      <c r="C429" s="48" t="n">
        <v>100</v>
      </c>
      <c r="D429" s="49" t="inlineStr">
        <is>
          <t>Diseñador</t>
        </is>
      </c>
      <c r="E429" s="50" t="n">
        <v>265</v>
      </c>
      <c r="F429" s="51">
        <f>E429*$B$5*(1+$B$6)</f>
        <v>344500</v>
      </c>
      <c r="G429" s="51">
        <f>F429*$B$7</f>
        <v>861250</v>
      </c>
      <c r="H429" s="51">
        <f>G429-F429</f>
        <v>516750</v>
      </c>
      <c r="I429" s="52">
        <f>H429/G429</f>
        <v>0.6</v>
      </c>
      <c r="J429" s="53" t="n"/>
      <c r="K429" s="54" t="n"/>
    </row>
    <row r="430">
      <c r="A430" s="39" t="inlineStr">
        <is>
          <t>Chanel</t>
        </is>
      </c>
      <c r="B430" s="47" t="inlineStr">
        <is>
          <t>CHANEL BLEU L' EXCLUSIF PARFUM 60ML</t>
        </is>
      </c>
      <c r="C430" s="48" t="n">
        <v>60</v>
      </c>
      <c r="D430" s="49" t="inlineStr">
        <is>
          <t>Diseñador</t>
        </is>
      </c>
      <c r="E430" s="50" t="n">
        <v>220</v>
      </c>
      <c r="F430" s="51">
        <f>E430*$B$5*(1+$B$6)</f>
        <v>286000</v>
      </c>
      <c r="G430" s="51">
        <f>F430*$B$7</f>
        <v>715000</v>
      </c>
      <c r="H430" s="51">
        <f>G430-F430</f>
        <v>429000</v>
      </c>
      <c r="I430" s="52">
        <f>H430/G430</f>
        <v>0.6</v>
      </c>
      <c r="J430" s="53" t="n"/>
      <c r="K430" s="54" t="n"/>
    </row>
    <row r="431">
      <c r="A431" s="39" t="inlineStr">
        <is>
          <t>Chanel</t>
        </is>
      </c>
      <c r="B431" s="47" t="inlineStr">
        <is>
          <t>CHANEL BLEU PARFUM POUR HOMME 100ML</t>
        </is>
      </c>
      <c r="C431" s="48" t="n">
        <v>100</v>
      </c>
      <c r="D431" s="49" t="inlineStr">
        <is>
          <t>Diseñador</t>
        </is>
      </c>
      <c r="E431" s="50" t="n">
        <v>195</v>
      </c>
      <c r="F431" s="51">
        <f>E431*$B$5*(1+$B$6)</f>
        <v>253500</v>
      </c>
      <c r="G431" s="51">
        <f>F431*$B$7</f>
        <v>633750</v>
      </c>
      <c r="H431" s="51">
        <f>G431-F431</f>
        <v>380250</v>
      </c>
      <c r="I431" s="52">
        <f>H431/G431</f>
        <v>0.6</v>
      </c>
      <c r="J431" s="53" t="n"/>
      <c r="K431" s="54" t="n"/>
    </row>
    <row r="432">
      <c r="A432" s="39" t="inlineStr">
        <is>
          <t>Chanel</t>
        </is>
      </c>
      <c r="B432" s="47" t="inlineStr">
        <is>
          <t>CHANEL CHANCE EAU FRAICHE EDP 100ML</t>
        </is>
      </c>
      <c r="C432" s="48" t="n">
        <v>100</v>
      </c>
      <c r="D432" s="49" t="inlineStr">
        <is>
          <t>Diseñador</t>
        </is>
      </c>
      <c r="E432" s="50" t="n">
        <v>150</v>
      </c>
      <c r="F432" s="51">
        <f>E432*$B$5*(1+$B$6)</f>
        <v>195000</v>
      </c>
      <c r="G432" s="51">
        <f>F432*$B$7</f>
        <v>487500</v>
      </c>
      <c r="H432" s="51">
        <f>G432-F432</f>
        <v>292500</v>
      </c>
      <c r="I432" s="52">
        <f>H432/G432</f>
        <v>0.6</v>
      </c>
      <c r="J432" s="53" t="n"/>
      <c r="K432" s="54" t="n"/>
    </row>
    <row r="433">
      <c r="A433" s="39" t="inlineStr">
        <is>
          <t>Chanel</t>
        </is>
      </c>
      <c r="B433" s="47" t="inlineStr">
        <is>
          <t>CHANEL CHANCE EAU FRAICHE EDT 100ML</t>
        </is>
      </c>
      <c r="C433" s="48" t="n">
        <v>100</v>
      </c>
      <c r="D433" s="49" t="inlineStr">
        <is>
          <t>Diseñador</t>
        </is>
      </c>
      <c r="E433" s="50" t="n">
        <v>145</v>
      </c>
      <c r="F433" s="51">
        <f>E433*$B$5*(1+$B$6)</f>
        <v>188500</v>
      </c>
      <c r="G433" s="51">
        <f>F433*$B$7</f>
        <v>471250</v>
      </c>
      <c r="H433" s="51">
        <f>G433-F433</f>
        <v>282750</v>
      </c>
      <c r="I433" s="52">
        <f>H433/G433</f>
        <v>0.6</v>
      </c>
      <c r="J433" s="53" t="n"/>
      <c r="K433" s="54" t="n"/>
    </row>
    <row r="434">
      <c r="A434" s="39" t="inlineStr">
        <is>
          <t>Chanel</t>
        </is>
      </c>
      <c r="B434" s="47" t="inlineStr">
        <is>
          <t>CHANEL CHANCE EAU SPLENDIDE EDP 100ML FEM</t>
        </is>
      </c>
      <c r="C434" s="48" t="n">
        <v>100</v>
      </c>
      <c r="D434" s="49" t="inlineStr">
        <is>
          <t>Diseñador</t>
        </is>
      </c>
      <c r="E434" s="50" t="n">
        <v>145</v>
      </c>
      <c r="F434" s="51">
        <f>E434*$B$5*(1+$B$6)</f>
        <v>188500</v>
      </c>
      <c r="G434" s="51">
        <f>F434*$B$7</f>
        <v>471250</v>
      </c>
      <c r="H434" s="51">
        <f>G434-F434</f>
        <v>282750</v>
      </c>
      <c r="I434" s="52">
        <f>H434/G434</f>
        <v>0.6</v>
      </c>
      <c r="J434" s="53" t="n"/>
      <c r="K434" s="54" t="n"/>
    </row>
    <row r="435">
      <c r="A435" s="39" t="inlineStr">
        <is>
          <t>Chanel</t>
        </is>
      </c>
      <c r="B435" s="47" t="inlineStr">
        <is>
          <t>CHANEL CHANCE EAU TENDRE EDP 100ML</t>
        </is>
      </c>
      <c r="C435" s="48" t="n">
        <v>100</v>
      </c>
      <c r="D435" s="49" t="inlineStr">
        <is>
          <t>Diseñador</t>
        </is>
      </c>
      <c r="E435" s="50" t="n">
        <v>150</v>
      </c>
      <c r="F435" s="51">
        <f>E435*$B$5*(1+$B$6)</f>
        <v>195000</v>
      </c>
      <c r="G435" s="51">
        <f>F435*$B$7</f>
        <v>487500</v>
      </c>
      <c r="H435" s="51">
        <f>G435-F435</f>
        <v>292500</v>
      </c>
      <c r="I435" s="52">
        <f>H435/G435</f>
        <v>0.6</v>
      </c>
      <c r="J435" s="53" t="n"/>
      <c r="K435" s="54" t="n"/>
    </row>
    <row r="436">
      <c r="A436" s="39" t="inlineStr">
        <is>
          <t>Chanel</t>
        </is>
      </c>
      <c r="B436" s="47" t="inlineStr">
        <is>
          <t>CHANEL CHANCE EAU TENDRE EDT 100ML</t>
        </is>
      </c>
      <c r="C436" s="48" t="n">
        <v>100</v>
      </c>
      <c r="D436" s="49" t="inlineStr">
        <is>
          <t>Diseñador</t>
        </is>
      </c>
      <c r="E436" s="50" t="n">
        <v>135</v>
      </c>
      <c r="F436" s="51">
        <f>E436*$B$5*(1+$B$6)</f>
        <v>175500</v>
      </c>
      <c r="G436" s="51">
        <f>F436*$B$7</f>
        <v>438750</v>
      </c>
      <c r="H436" s="51">
        <f>G436-F436</f>
        <v>263250</v>
      </c>
      <c r="I436" s="52">
        <f>H436/G436</f>
        <v>0.6</v>
      </c>
      <c r="J436" s="53" t="n"/>
      <c r="K436" s="54" t="n"/>
    </row>
    <row r="437">
      <c r="A437" s="39" t="inlineStr">
        <is>
          <t>Chanel</t>
        </is>
      </c>
      <c r="B437" s="47" t="inlineStr">
        <is>
          <t>CHANEL CHANCE EDT 100ML FEM</t>
        </is>
      </c>
      <c r="C437" s="48" t="n">
        <v>100</v>
      </c>
      <c r="D437" s="49" t="inlineStr">
        <is>
          <t>Diseñador</t>
        </is>
      </c>
      <c r="E437" s="50" t="n">
        <v>132</v>
      </c>
      <c r="F437" s="51">
        <f>E437*$B$5*(1+$B$6)</f>
        <v>171600</v>
      </c>
      <c r="G437" s="51">
        <f>F437*$B$7</f>
        <v>429000</v>
      </c>
      <c r="H437" s="51">
        <f>G437-F437</f>
        <v>257400</v>
      </c>
      <c r="I437" s="52">
        <f>H437/G437</f>
        <v>0.6</v>
      </c>
      <c r="J437" s="53" t="n"/>
      <c r="K437" s="54" t="n"/>
    </row>
    <row r="438">
      <c r="A438" s="39" t="inlineStr">
        <is>
          <t>Chanel</t>
        </is>
      </c>
      <c r="B438" s="47" t="inlineStr">
        <is>
          <t>CHANEL CHANCE EDT 150ML</t>
        </is>
      </c>
      <c r="C438" s="48" t="n">
        <v>150</v>
      </c>
      <c r="D438" s="49" t="inlineStr">
        <is>
          <t>Diseñador</t>
        </is>
      </c>
      <c r="E438" s="50" t="n">
        <v>145</v>
      </c>
      <c r="F438" s="51">
        <f>E438*$B$5*(1+$B$6)</f>
        <v>188500</v>
      </c>
      <c r="G438" s="51">
        <f>F438*$B$7</f>
        <v>471250</v>
      </c>
      <c r="H438" s="51">
        <f>G438-F438</f>
        <v>282750</v>
      </c>
      <c r="I438" s="52">
        <f>H438/G438</f>
        <v>0.6</v>
      </c>
      <c r="J438" s="53" t="n"/>
      <c r="K438" s="54" t="n"/>
    </row>
    <row r="439">
      <c r="A439" s="39" t="inlineStr">
        <is>
          <t>Chanel</t>
        </is>
      </c>
      <c r="B439" s="47" t="inlineStr">
        <is>
          <t>CHANEL COCO EDP 100ML</t>
        </is>
      </c>
      <c r="C439" s="48" t="n">
        <v>100</v>
      </c>
      <c r="D439" s="49" t="inlineStr">
        <is>
          <t>Diseñador</t>
        </is>
      </c>
      <c r="E439" s="50" t="n">
        <v>155</v>
      </c>
      <c r="F439" s="51">
        <f>E439*$B$5*(1+$B$6)</f>
        <v>201500</v>
      </c>
      <c r="G439" s="51">
        <f>F439*$B$7</f>
        <v>503750</v>
      </c>
      <c r="H439" s="51">
        <f>G439-F439</f>
        <v>302250</v>
      </c>
      <c r="I439" s="52">
        <f>H439/G439</f>
        <v>0.6</v>
      </c>
      <c r="J439" s="53" t="n"/>
      <c r="K439" s="54" t="n"/>
    </row>
    <row r="440">
      <c r="A440" s="39" t="inlineStr">
        <is>
          <t>Chanel</t>
        </is>
      </c>
      <c r="B440" s="47" t="inlineStr">
        <is>
          <t>CHANEL COCO MADEMOISELLE INTENSE EDP 100ML</t>
        </is>
      </c>
      <c r="C440" s="48" t="n">
        <v>100</v>
      </c>
      <c r="D440" s="49" t="inlineStr">
        <is>
          <t>Diseñador</t>
        </is>
      </c>
      <c r="E440" s="50" t="n">
        <v>158</v>
      </c>
      <c r="F440" s="51">
        <f>E440*$B$5*(1+$B$6)</f>
        <v>205400</v>
      </c>
      <c r="G440" s="51">
        <f>F440*$B$7</f>
        <v>513500</v>
      </c>
      <c r="H440" s="51">
        <f>G440-F440</f>
        <v>308100</v>
      </c>
      <c r="I440" s="52">
        <f>H440/G440</f>
        <v>0.6</v>
      </c>
      <c r="J440" s="53" t="n"/>
      <c r="K440" s="54" t="n"/>
    </row>
    <row r="441">
      <c r="A441" s="39" t="inlineStr">
        <is>
          <t>Chanel</t>
        </is>
      </c>
      <c r="B441" s="47" t="inlineStr">
        <is>
          <t>CHANEL COCO MADEMOISELLE L'EAU PRIVEE EAU POUR LA NUIT 100ML</t>
        </is>
      </c>
      <c r="C441" s="48" t="n">
        <v>100</v>
      </c>
      <c r="D441" s="49" t="inlineStr">
        <is>
          <t>Diseñador</t>
        </is>
      </c>
      <c r="E441" s="50" t="n">
        <v>150</v>
      </c>
      <c r="F441" s="51">
        <f>E441*$B$5*(1+$B$6)</f>
        <v>195000</v>
      </c>
      <c r="G441" s="51">
        <f>F441*$B$7</f>
        <v>487500</v>
      </c>
      <c r="H441" s="51">
        <f>G441-F441</f>
        <v>292500</v>
      </c>
      <c r="I441" s="52">
        <f>H441/G441</f>
        <v>0.6</v>
      </c>
      <c r="J441" s="53" t="n"/>
      <c r="K441" s="54" t="n"/>
    </row>
    <row r="442">
      <c r="A442" s="39" t="inlineStr">
        <is>
          <t>Chanel</t>
        </is>
      </c>
      <c r="B442" s="47" t="inlineStr">
        <is>
          <t>CHANEL EGOISTE EDT 100ML</t>
        </is>
      </c>
      <c r="C442" s="48" t="n">
        <v>100</v>
      </c>
      <c r="D442" s="49" t="inlineStr">
        <is>
          <t>Diseñador</t>
        </is>
      </c>
      <c r="E442" s="50" t="n">
        <v>120</v>
      </c>
      <c r="F442" s="51">
        <f>E442*$B$5*(1+$B$6)</f>
        <v>156000</v>
      </c>
      <c r="G442" s="51">
        <f>F442*$B$7</f>
        <v>390000</v>
      </c>
      <c r="H442" s="51">
        <f>G442-F442</f>
        <v>234000</v>
      </c>
      <c r="I442" s="52">
        <f>H442/G442</f>
        <v>0.6</v>
      </c>
      <c r="J442" s="53" t="n"/>
      <c r="K442" s="54" t="n"/>
    </row>
    <row r="443">
      <c r="A443" s="39" t="inlineStr">
        <is>
          <t>Chanel</t>
        </is>
      </c>
      <c r="B443" s="47" t="inlineStr">
        <is>
          <t>CHANEL EGOISTE PLATINUM EDT 50ML MASC</t>
        </is>
      </c>
      <c r="C443" s="48" t="n">
        <v>50</v>
      </c>
      <c r="D443" s="49" t="inlineStr">
        <is>
          <t>Diseñador</t>
        </is>
      </c>
      <c r="E443" s="50" t="n">
        <v>92</v>
      </c>
      <c r="F443" s="51">
        <f>E443*$B$5*(1+$B$6)</f>
        <v>119600</v>
      </c>
      <c r="G443" s="51">
        <f>F443*$B$7</f>
        <v>299000</v>
      </c>
      <c r="H443" s="51">
        <f>G443-F443</f>
        <v>179400</v>
      </c>
      <c r="I443" s="52">
        <f>H443/G443</f>
        <v>0.6</v>
      </c>
      <c r="J443" s="53" t="n"/>
      <c r="K443" s="54" t="n"/>
    </row>
    <row r="444">
      <c r="A444" s="39" t="inlineStr">
        <is>
          <t>Chanel</t>
        </is>
      </c>
      <c r="B444" s="47" t="inlineStr">
        <is>
          <t>CHANEL GABRIELLE EDP 100ML FEM</t>
        </is>
      </c>
      <c r="C444" s="48" t="n">
        <v>100</v>
      </c>
      <c r="D444" s="49" t="inlineStr">
        <is>
          <t>Diseñador</t>
        </is>
      </c>
      <c r="E444" s="50" t="n">
        <v>157</v>
      </c>
      <c r="F444" s="51">
        <f>E444*$B$5*(1+$B$6)</f>
        <v>204100</v>
      </c>
      <c r="G444" s="51">
        <f>F444*$B$7</f>
        <v>510250</v>
      </c>
      <c r="H444" s="51">
        <f>G444-F444</f>
        <v>306150</v>
      </c>
      <c r="I444" s="52">
        <f>H444/G444</f>
        <v>0.6</v>
      </c>
      <c r="J444" s="53" t="n"/>
      <c r="K444" s="54" t="n"/>
    </row>
    <row r="445">
      <c r="A445" s="39" t="inlineStr">
        <is>
          <t>Chanel</t>
        </is>
      </c>
      <c r="B445" s="47" t="inlineStr">
        <is>
          <t>CHANEL GABRIELLE ESSENCE EDP 100ML FEM</t>
        </is>
      </c>
      <c r="C445" s="48" t="n">
        <v>100</v>
      </c>
      <c r="D445" s="49" t="inlineStr">
        <is>
          <t>Diseñador</t>
        </is>
      </c>
      <c r="E445" s="50" t="n">
        <v>185</v>
      </c>
      <c r="F445" s="51">
        <f>E445*$B$5*(1+$B$6)</f>
        <v>240500</v>
      </c>
      <c r="G445" s="51">
        <f>F445*$B$7</f>
        <v>601250</v>
      </c>
      <c r="H445" s="51">
        <f>G445-F445</f>
        <v>360750</v>
      </c>
      <c r="I445" s="52">
        <f>H445/G445</f>
        <v>0.6</v>
      </c>
      <c r="J445" s="53" t="n"/>
      <c r="K445" s="54" t="n"/>
    </row>
    <row r="446">
      <c r="A446" s="39" t="inlineStr">
        <is>
          <t>Chanel</t>
        </is>
      </c>
      <c r="B446" s="47" t="inlineStr">
        <is>
          <t>CHANEL GABRIELLE L'EAU EDT 100ML</t>
        </is>
      </c>
      <c r="C446" s="48" t="n">
        <v>100</v>
      </c>
      <c r="D446" s="49" t="inlineStr">
        <is>
          <t>Diseñador</t>
        </is>
      </c>
      <c r="E446" s="50" t="n">
        <v>170</v>
      </c>
      <c r="F446" s="51">
        <f>E446*$B$5*(1+$B$6)</f>
        <v>221000</v>
      </c>
      <c r="G446" s="51">
        <f>F446*$B$7</f>
        <v>552500</v>
      </c>
      <c r="H446" s="51">
        <f>G446-F446</f>
        <v>331500</v>
      </c>
      <c r="I446" s="52">
        <f>H446/G446</f>
        <v>0.6</v>
      </c>
      <c r="J446" s="53" t="n"/>
      <c r="K446" s="54" t="n"/>
    </row>
    <row r="447">
      <c r="A447" s="39" t="inlineStr">
        <is>
          <t>Chanel</t>
        </is>
      </c>
      <c r="B447" s="47" t="inlineStr">
        <is>
          <t>CHANEL NO.5 EDP 100ML FEM</t>
        </is>
      </c>
      <c r="C447" s="48" t="n">
        <v>100</v>
      </c>
      <c r="D447" s="49" t="inlineStr">
        <is>
          <t>Diseñador</t>
        </is>
      </c>
      <c r="E447" s="50" t="n">
        <v>145</v>
      </c>
      <c r="F447" s="51">
        <f>E447*$B$5*(1+$B$6)</f>
        <v>188500</v>
      </c>
      <c r="G447" s="51">
        <f>F447*$B$7</f>
        <v>471250</v>
      </c>
      <c r="H447" s="51">
        <f>G447-F447</f>
        <v>282750</v>
      </c>
      <c r="I447" s="52">
        <f>H447/G447</f>
        <v>0.6</v>
      </c>
      <c r="J447" s="53" t="n"/>
      <c r="K447" s="54" t="n"/>
    </row>
    <row r="448">
      <c r="A448" s="39" t="inlineStr">
        <is>
          <t>Chanel</t>
        </is>
      </c>
      <c r="B448" s="47" t="inlineStr">
        <is>
          <t>TESTER CHANEL ALLURE EDP 100ML FEM</t>
        </is>
      </c>
      <c r="C448" s="48" t="n">
        <v>100</v>
      </c>
      <c r="D448" s="49" t="inlineStr">
        <is>
          <t>Tester</t>
        </is>
      </c>
      <c r="E448" s="50" t="n">
        <v>105</v>
      </c>
      <c r="F448" s="51">
        <f>E448*$B$5*(1+$B$6)</f>
        <v>136500</v>
      </c>
      <c r="G448" s="51">
        <f>F448*$B$7</f>
        <v>341250</v>
      </c>
      <c r="H448" s="51">
        <f>G448-F448</f>
        <v>204750</v>
      </c>
      <c r="I448" s="52">
        <f>H448/G448</f>
        <v>0.6</v>
      </c>
      <c r="J448" s="53" t="n"/>
      <c r="K448" s="54" t="n"/>
    </row>
    <row r="449">
      <c r="A449" s="39" t="inlineStr">
        <is>
          <t>Chanel</t>
        </is>
      </c>
      <c r="B449" s="47" t="inlineStr">
        <is>
          <t>TESTER CHANEL ALLURE EDT 100ML MASC</t>
        </is>
      </c>
      <c r="C449" s="48" t="n">
        <v>100</v>
      </c>
      <c r="D449" s="49" t="inlineStr">
        <is>
          <t>Tester</t>
        </is>
      </c>
      <c r="E449" s="50" t="n">
        <v>105</v>
      </c>
      <c r="F449" s="51">
        <f>E449*$B$5*(1+$B$6)</f>
        <v>136500</v>
      </c>
      <c r="G449" s="51">
        <f>F449*$B$7</f>
        <v>341250</v>
      </c>
      <c r="H449" s="51">
        <f>G449-F449</f>
        <v>204750</v>
      </c>
      <c r="I449" s="52">
        <f>H449/G449</f>
        <v>0.6</v>
      </c>
      <c r="J449" s="53" t="n"/>
      <c r="K449" s="54" t="n"/>
    </row>
    <row r="450">
      <c r="A450" s="39" t="inlineStr">
        <is>
          <t>Chanel</t>
        </is>
      </c>
      <c r="B450" s="47" t="inlineStr">
        <is>
          <t>TESTER CHANEL ALLURE SPORT EDT 100ML MASC C/T</t>
        </is>
      </c>
      <c r="C450" s="48" t="n">
        <v>100</v>
      </c>
      <c r="D450" s="49" t="inlineStr">
        <is>
          <t>Tester</t>
        </is>
      </c>
      <c r="E450" s="50" t="n">
        <v>99</v>
      </c>
      <c r="F450" s="51">
        <f>E450*$B$5*(1+$B$6)</f>
        <v>128700</v>
      </c>
      <c r="G450" s="51">
        <f>F450*$B$7</f>
        <v>321750</v>
      </c>
      <c r="H450" s="51">
        <f>G450-F450</f>
        <v>193050</v>
      </c>
      <c r="I450" s="52">
        <f>H450/G450</f>
        <v>0.6</v>
      </c>
      <c r="J450" s="53" t="n"/>
      <c r="K450" s="54" t="n"/>
    </row>
    <row r="451">
      <c r="A451" s="39" t="inlineStr">
        <is>
          <t>Chanel</t>
        </is>
      </c>
      <c r="B451" s="47" t="inlineStr">
        <is>
          <t>TESTER CHANEL BLEU DE CHANEL EDP 100ML C/T</t>
        </is>
      </c>
      <c r="C451" s="48" t="n">
        <v>100</v>
      </c>
      <c r="D451" s="49" t="inlineStr">
        <is>
          <t>Tester</t>
        </is>
      </c>
      <c r="E451" s="50" t="n">
        <v>121</v>
      </c>
      <c r="F451" s="51">
        <f>E451*$B$5*(1+$B$6)</f>
        <v>157300</v>
      </c>
      <c r="G451" s="51">
        <f>F451*$B$7</f>
        <v>393250</v>
      </c>
      <c r="H451" s="51">
        <f>G451-F451</f>
        <v>235950</v>
      </c>
      <c r="I451" s="52">
        <f>H451/G451</f>
        <v>0.6</v>
      </c>
      <c r="J451" s="53" t="n"/>
      <c r="K451" s="54" t="n"/>
    </row>
    <row r="452">
      <c r="A452" s="39" t="inlineStr">
        <is>
          <t>Chanel</t>
        </is>
      </c>
      <c r="B452" s="47" t="inlineStr">
        <is>
          <t>TESTER CHANEL BLEU DE CHANEL PARFUM 100ML C/T</t>
        </is>
      </c>
      <c r="C452" s="48" t="n">
        <v>100</v>
      </c>
      <c r="D452" s="49" t="inlineStr">
        <is>
          <t>Tester</t>
        </is>
      </c>
      <c r="E452" s="50" t="n">
        <v>145</v>
      </c>
      <c r="F452" s="51">
        <f>E452*$B$5*(1+$B$6)</f>
        <v>188500</v>
      </c>
      <c r="G452" s="51">
        <f>F452*$B$7</f>
        <v>471250</v>
      </c>
      <c r="H452" s="51">
        <f>G452-F452</f>
        <v>282750</v>
      </c>
      <c r="I452" s="52">
        <f>H452/G452</f>
        <v>0.6</v>
      </c>
      <c r="J452" s="53" t="n"/>
      <c r="K452" s="54" t="n"/>
    </row>
    <row r="453">
      <c r="A453" s="39" t="inlineStr">
        <is>
          <t>Chanel</t>
        </is>
      </c>
      <c r="B453" s="47" t="inlineStr">
        <is>
          <t>TESTER CHANEL BLEU L' EXCLUSIF PARFUM 100ML C/T</t>
        </is>
      </c>
      <c r="C453" s="48" t="n">
        <v>100</v>
      </c>
      <c r="D453" s="49" t="inlineStr">
        <is>
          <t>Tester</t>
        </is>
      </c>
      <c r="E453" s="50" t="n">
        <v>240</v>
      </c>
      <c r="F453" s="51">
        <f>E453*$B$5*(1+$B$6)</f>
        <v>312000</v>
      </c>
      <c r="G453" s="51">
        <f>F453*$B$7</f>
        <v>780000</v>
      </c>
      <c r="H453" s="51">
        <f>G453-F453</f>
        <v>468000</v>
      </c>
      <c r="I453" s="52">
        <f>H453/G453</f>
        <v>0.6</v>
      </c>
      <c r="J453" s="53" t="n"/>
      <c r="K453" s="54" t="n"/>
    </row>
    <row r="454">
      <c r="A454" s="39" t="inlineStr">
        <is>
          <t>Chanel</t>
        </is>
      </c>
      <c r="B454" s="47" t="inlineStr">
        <is>
          <t>TESTER CHANEL CHANCE EAU FRAICHE EDP 100ML C/T</t>
        </is>
      </c>
      <c r="C454" s="48" t="n">
        <v>100</v>
      </c>
      <c r="D454" s="49" t="inlineStr">
        <is>
          <t>Tester</t>
        </is>
      </c>
      <c r="E454" s="50" t="n">
        <v>121</v>
      </c>
      <c r="F454" s="51">
        <f>E454*$B$5*(1+$B$6)</f>
        <v>157300</v>
      </c>
      <c r="G454" s="51">
        <f>F454*$B$7</f>
        <v>393250</v>
      </c>
      <c r="H454" s="51">
        <f>G454-F454</f>
        <v>235950</v>
      </c>
      <c r="I454" s="52">
        <f>H454/G454</f>
        <v>0.6</v>
      </c>
      <c r="J454" s="53" t="n"/>
      <c r="K454" s="54" t="n"/>
    </row>
    <row r="455">
      <c r="A455" s="39" t="inlineStr">
        <is>
          <t>Chanel</t>
        </is>
      </c>
      <c r="B455" s="47" t="inlineStr">
        <is>
          <t>TESTER CHANEL CHANCE EAU FRAICHE EDT 100ML C/T</t>
        </is>
      </c>
      <c r="C455" s="48" t="n">
        <v>100</v>
      </c>
      <c r="D455" s="49" t="inlineStr">
        <is>
          <t>Tester</t>
        </is>
      </c>
      <c r="E455" s="50" t="n">
        <v>105</v>
      </c>
      <c r="F455" s="51">
        <f>E455*$B$5*(1+$B$6)</f>
        <v>136500</v>
      </c>
      <c r="G455" s="51">
        <f>F455*$B$7</f>
        <v>341250</v>
      </c>
      <c r="H455" s="51">
        <f>G455-F455</f>
        <v>204750</v>
      </c>
      <c r="I455" s="52">
        <f>H455/G455</f>
        <v>0.6</v>
      </c>
      <c r="J455" s="53" t="n"/>
      <c r="K455" s="54" t="n"/>
    </row>
    <row r="456">
      <c r="A456" s="39" t="inlineStr">
        <is>
          <t>Chanel</t>
        </is>
      </c>
      <c r="B456" s="47" t="inlineStr">
        <is>
          <t>TESTER CHANEL CHANCE EDP 100ML C/T</t>
        </is>
      </c>
      <c r="C456" s="48" t="n">
        <v>100</v>
      </c>
      <c r="D456" s="49" t="inlineStr">
        <is>
          <t>Tester</t>
        </is>
      </c>
      <c r="E456" s="50" t="n">
        <v>123</v>
      </c>
      <c r="F456" s="51">
        <f>E456*$B$5*(1+$B$6)</f>
        <v>159900</v>
      </c>
      <c r="G456" s="51">
        <f>F456*$B$7</f>
        <v>399750</v>
      </c>
      <c r="H456" s="51">
        <f>G456-F456</f>
        <v>239850</v>
      </c>
      <c r="I456" s="52">
        <f>H456/G456</f>
        <v>0.6</v>
      </c>
      <c r="J456" s="53" t="n"/>
      <c r="K456" s="54" t="n"/>
    </row>
    <row r="457">
      <c r="A457" s="39" t="inlineStr">
        <is>
          <t>Chanel</t>
        </is>
      </c>
      <c r="B457" s="47" t="inlineStr">
        <is>
          <t>TESTER CHANEL CHANCE EDT 100ML</t>
        </is>
      </c>
      <c r="C457" s="48" t="n">
        <v>100</v>
      </c>
      <c r="D457" s="49" t="inlineStr">
        <is>
          <t>Tester</t>
        </is>
      </c>
      <c r="E457" s="50" t="n">
        <v>92</v>
      </c>
      <c r="F457" s="51">
        <f>E457*$B$5*(1+$B$6)</f>
        <v>119600</v>
      </c>
      <c r="G457" s="51">
        <f>F457*$B$7</f>
        <v>299000</v>
      </c>
      <c r="H457" s="51">
        <f>G457-F457</f>
        <v>179400</v>
      </c>
      <c r="I457" s="52">
        <f>H457/G457</f>
        <v>0.6</v>
      </c>
      <c r="J457" s="53" t="n"/>
      <c r="K457" s="54" t="n"/>
    </row>
    <row r="458">
      <c r="A458" s="39" t="inlineStr">
        <is>
          <t>Chanel</t>
        </is>
      </c>
      <c r="B458" s="47" t="inlineStr">
        <is>
          <t>TESTER CHANEL COCO EDP 100ML C/T</t>
        </is>
      </c>
      <c r="C458" s="48" t="n">
        <v>100</v>
      </c>
      <c r="D458" s="49" t="inlineStr">
        <is>
          <t>Tester</t>
        </is>
      </c>
      <c r="E458" s="50" t="n">
        <v>130</v>
      </c>
      <c r="F458" s="51">
        <f>E458*$B$5*(1+$B$6)</f>
        <v>169000</v>
      </c>
      <c r="G458" s="51">
        <f>F458*$B$7</f>
        <v>422500</v>
      </c>
      <c r="H458" s="51">
        <f>G458-F458</f>
        <v>253500</v>
      </c>
      <c r="I458" s="52">
        <f>H458/G458</f>
        <v>0.6</v>
      </c>
      <c r="J458" s="53" t="n"/>
      <c r="K458" s="54" t="n"/>
    </row>
    <row r="459">
      <c r="A459" s="39" t="inlineStr">
        <is>
          <t>Chanel</t>
        </is>
      </c>
      <c r="B459" s="47" t="inlineStr">
        <is>
          <t>TESTER CHANEL COCO EDT 100ML FEM</t>
        </is>
      </c>
      <c r="C459" s="48" t="n">
        <v>100</v>
      </c>
      <c r="D459" s="49" t="inlineStr">
        <is>
          <t>Tester</t>
        </is>
      </c>
      <c r="E459" s="50" t="n">
        <v>88</v>
      </c>
      <c r="F459" s="51">
        <f>E459*$B$5*(1+$B$6)</f>
        <v>114400</v>
      </c>
      <c r="G459" s="51">
        <f>F459*$B$7</f>
        <v>286000</v>
      </c>
      <c r="H459" s="51">
        <f>G459-F459</f>
        <v>171600</v>
      </c>
      <c r="I459" s="52">
        <f>H459/G459</f>
        <v>0.6</v>
      </c>
      <c r="J459" s="53" t="n"/>
      <c r="K459" s="54" t="n"/>
    </row>
    <row r="460">
      <c r="A460" s="39" t="inlineStr">
        <is>
          <t>Chanel</t>
        </is>
      </c>
      <c r="B460" s="47" t="inlineStr">
        <is>
          <t>TESTER CHANEL COCO MADEMOISELLE EDP 100ML C/T</t>
        </is>
      </c>
      <c r="C460" s="48" t="n">
        <v>100</v>
      </c>
      <c r="D460" s="49" t="inlineStr">
        <is>
          <t>Tester</t>
        </is>
      </c>
      <c r="E460" s="50" t="n">
        <v>125</v>
      </c>
      <c r="F460" s="51">
        <f>E460*$B$5*(1+$B$6)</f>
        <v>162500</v>
      </c>
      <c r="G460" s="51">
        <f>F460*$B$7</f>
        <v>406250</v>
      </c>
      <c r="H460" s="51">
        <f>G460-F460</f>
        <v>243750</v>
      </c>
      <c r="I460" s="52">
        <f>H460/G460</f>
        <v>0.6</v>
      </c>
      <c r="J460" s="53" t="n"/>
      <c r="K460" s="54" t="n"/>
    </row>
    <row r="461">
      <c r="A461" s="39" t="inlineStr">
        <is>
          <t>Chanel</t>
        </is>
      </c>
      <c r="B461" s="47" t="inlineStr">
        <is>
          <t>TESTER CHANEL COCO MADEMOISELLE EDT 100ML C/T</t>
        </is>
      </c>
      <c r="C461" s="48" t="n">
        <v>100</v>
      </c>
      <c r="D461" s="49" t="inlineStr">
        <is>
          <t>Tester</t>
        </is>
      </c>
      <c r="E461" s="50" t="n">
        <v>91</v>
      </c>
      <c r="F461" s="51">
        <f>E461*$B$5*(1+$B$6)</f>
        <v>118300</v>
      </c>
      <c r="G461" s="51">
        <f>F461*$B$7</f>
        <v>295750</v>
      </c>
      <c r="H461" s="51">
        <f>G461-F461</f>
        <v>177450</v>
      </c>
      <c r="I461" s="52">
        <f>H461/G461</f>
        <v>0.6</v>
      </c>
      <c r="J461" s="53" t="n"/>
      <c r="K461" s="54" t="n"/>
    </row>
    <row r="462">
      <c r="A462" s="39" t="inlineStr">
        <is>
          <t>Chanel</t>
        </is>
      </c>
      <c r="B462" s="47" t="inlineStr">
        <is>
          <t>TESTER CHANEL N5 EAU PREMIERE EDP 100ML</t>
        </is>
      </c>
      <c r="C462" s="48" t="n">
        <v>100</v>
      </c>
      <c r="D462" s="49" t="inlineStr">
        <is>
          <t>Tester</t>
        </is>
      </c>
      <c r="E462" s="50" t="n">
        <v>95</v>
      </c>
      <c r="F462" s="51">
        <f>E462*$B$5*(1+$B$6)</f>
        <v>123500</v>
      </c>
      <c r="G462" s="51">
        <f>F462*$B$7</f>
        <v>308750</v>
      </c>
      <c r="H462" s="51">
        <f>G462-F462</f>
        <v>185250</v>
      </c>
      <c r="I462" s="52">
        <f>H462/G462</f>
        <v>0.6</v>
      </c>
      <c r="J462" s="53" t="n"/>
      <c r="K462" s="54" t="n"/>
    </row>
    <row r="463">
      <c r="A463" s="39" t="inlineStr">
        <is>
          <t>Chanel</t>
        </is>
      </c>
      <c r="B463" s="47" t="inlineStr">
        <is>
          <t>TESTER CHANEL N5 EDT 100ML</t>
        </is>
      </c>
      <c r="C463" s="48" t="n">
        <v>100</v>
      </c>
      <c r="D463" s="49" t="inlineStr">
        <is>
          <t>Tester</t>
        </is>
      </c>
      <c r="E463" s="50" t="n">
        <v>82</v>
      </c>
      <c r="F463" s="51">
        <f>E463*$B$5*(1+$B$6)</f>
        <v>106600</v>
      </c>
      <c r="G463" s="51">
        <f>F463*$B$7</f>
        <v>266500</v>
      </c>
      <c r="H463" s="51">
        <f>G463-F463</f>
        <v>159900</v>
      </c>
      <c r="I463" s="52">
        <f>H463/G463</f>
        <v>0.6</v>
      </c>
      <c r="J463" s="53" t="n"/>
      <c r="K463" s="54" t="n"/>
    </row>
    <row r="464">
      <c r="A464" s="39" t="inlineStr">
        <is>
          <t>Chanel</t>
        </is>
      </c>
      <c r="B464" s="47" t="inlineStr">
        <is>
          <t>TESTER CHANEL N5 L'EAU EDT 100ML</t>
        </is>
      </c>
      <c r="C464" s="48" t="n">
        <v>100</v>
      </c>
      <c r="D464" s="49" t="inlineStr">
        <is>
          <t>Tester</t>
        </is>
      </c>
      <c r="E464" s="50" t="n">
        <v>95</v>
      </c>
      <c r="F464" s="51">
        <f>E464*$B$5*(1+$B$6)</f>
        <v>123500</v>
      </c>
      <c r="G464" s="51">
        <f>F464*$B$7</f>
        <v>308750</v>
      </c>
      <c r="H464" s="51">
        <f>G464-F464</f>
        <v>185250</v>
      </c>
      <c r="I464" s="52">
        <f>H464/G464</f>
        <v>0.6</v>
      </c>
      <c r="J464" s="53" t="n"/>
      <c r="K464" s="54" t="n"/>
    </row>
    <row r="465">
      <c r="A465" s="39" t="inlineStr">
        <is>
          <t>Chloe</t>
        </is>
      </c>
      <c r="B465" s="47" t="inlineStr">
        <is>
          <t>CHLOE EDP 100ML FEM</t>
        </is>
      </c>
      <c r="C465" s="48" t="n">
        <v>100</v>
      </c>
      <c r="D465" s="49" t="inlineStr">
        <is>
          <t>Diseñador</t>
        </is>
      </c>
      <c r="E465" s="50" t="n">
        <v>90</v>
      </c>
      <c r="F465" s="51">
        <f>E465*$B$5*(1+$B$6)</f>
        <v>117000</v>
      </c>
      <c r="G465" s="51">
        <f>F465*$B$7</f>
        <v>292500</v>
      </c>
      <c r="H465" s="51">
        <f>G465-F465</f>
        <v>175500</v>
      </c>
      <c r="I465" s="52">
        <f>H465/G465</f>
        <v>0.6</v>
      </c>
      <c r="J465" s="53" t="n"/>
      <c r="K465" s="54" t="n"/>
    </row>
    <row r="466">
      <c r="A466" s="39" t="inlineStr">
        <is>
          <t>Chloe</t>
        </is>
      </c>
      <c r="B466" s="47" t="inlineStr">
        <is>
          <t>CHLOE EDP 75ML FEM</t>
        </is>
      </c>
      <c r="C466" s="48" t="n">
        <v>75</v>
      </c>
      <c r="D466" s="49" t="inlineStr">
        <is>
          <t>Diseñador</t>
        </is>
      </c>
      <c r="E466" s="50" t="n">
        <v>65</v>
      </c>
      <c r="F466" s="51">
        <f>E466*$B$5*(1+$B$6)</f>
        <v>84500</v>
      </c>
      <c r="G466" s="51">
        <f>F466*$B$7</f>
        <v>211250</v>
      </c>
      <c r="H466" s="51">
        <f>G466-F466</f>
        <v>126750</v>
      </c>
      <c r="I466" s="52">
        <f>H466/G466</f>
        <v>0.6</v>
      </c>
      <c r="J466" s="53" t="n"/>
      <c r="K466" s="54" t="n"/>
    </row>
    <row r="467">
      <c r="A467" s="39" t="inlineStr">
        <is>
          <t>Chloe</t>
        </is>
      </c>
      <c r="B467" s="47" t="inlineStr">
        <is>
          <t>CHLOE KIT NOMADE EDP 75ML + 20ML FEM 2PCS</t>
        </is>
      </c>
      <c r="C467" s="48" t="n">
        <v>75</v>
      </c>
      <c r="D467" s="49" t="inlineStr">
        <is>
          <t>Diseñador</t>
        </is>
      </c>
      <c r="E467" s="50" t="n">
        <v>75</v>
      </c>
      <c r="F467" s="51">
        <f>E467*$B$5*(1+$B$6)</f>
        <v>97500</v>
      </c>
      <c r="G467" s="51">
        <f>F467*$B$7</f>
        <v>243750</v>
      </c>
      <c r="H467" s="51">
        <f>G467-F467</f>
        <v>146250</v>
      </c>
      <c r="I467" s="52">
        <f>H467/G467</f>
        <v>0.6</v>
      </c>
      <c r="J467" s="53" t="n"/>
      <c r="K467" s="54" t="n"/>
    </row>
    <row r="468">
      <c r="A468" s="39" t="inlineStr">
        <is>
          <t>Chloe</t>
        </is>
      </c>
      <c r="B468" s="47" t="inlineStr">
        <is>
          <t>CHLOE L'EAU DE PARFUM INTENSE 100ML FEM</t>
        </is>
      </c>
      <c r="C468" s="48" t="n">
        <v>100</v>
      </c>
      <c r="D468" s="49" t="inlineStr">
        <is>
          <t>Diseñador</t>
        </is>
      </c>
      <c r="E468" s="50" t="n">
        <v>114</v>
      </c>
      <c r="F468" s="51">
        <f>E468*$B$5*(1+$B$6)</f>
        <v>148200</v>
      </c>
      <c r="G468" s="51">
        <f>F468*$B$7</f>
        <v>370500</v>
      </c>
      <c r="H468" s="51">
        <f>G468-F468</f>
        <v>222300</v>
      </c>
      <c r="I468" s="52">
        <f>H468/G468</f>
        <v>0.6</v>
      </c>
      <c r="J468" s="53" t="n"/>
      <c r="K468" s="54" t="n"/>
    </row>
    <row r="469">
      <c r="A469" s="39" t="inlineStr">
        <is>
          <t>Chloe</t>
        </is>
      </c>
      <c r="B469" s="47" t="inlineStr">
        <is>
          <t>CHLOE L'EAU DE PARFUM INTENSE 50ML FEM</t>
        </is>
      </c>
      <c r="C469" s="48" t="n">
        <v>50</v>
      </c>
      <c r="D469" s="49" t="inlineStr">
        <is>
          <t>Diseñador</t>
        </is>
      </c>
      <c r="E469" s="50" t="n">
        <v>82</v>
      </c>
      <c r="F469" s="51">
        <f>E469*$B$5*(1+$B$6)</f>
        <v>106600</v>
      </c>
      <c r="G469" s="51">
        <f>F469*$B$7</f>
        <v>266500</v>
      </c>
      <c r="H469" s="51">
        <f>G469-F469</f>
        <v>159900</v>
      </c>
      <c r="I469" s="52">
        <f>H469/G469</f>
        <v>0.6</v>
      </c>
      <c r="J469" s="53" t="n"/>
      <c r="K469" s="54" t="n"/>
    </row>
    <row r="470">
      <c r="A470" s="39" t="inlineStr">
        <is>
          <t>Chloe</t>
        </is>
      </c>
      <c r="B470" s="47" t="inlineStr">
        <is>
          <t>CHLOE LE PARFUM PARFUM 100ML</t>
        </is>
      </c>
      <c r="C470" s="48" t="n">
        <v>100</v>
      </c>
      <c r="D470" s="49" t="inlineStr">
        <is>
          <t>Diseñador</t>
        </is>
      </c>
      <c r="E470" s="50" t="n">
        <v>110</v>
      </c>
      <c r="F470" s="51">
        <f>E470*$B$5*(1+$B$6)</f>
        <v>143000</v>
      </c>
      <c r="G470" s="51">
        <f>F470*$B$7</f>
        <v>357500</v>
      </c>
      <c r="H470" s="51">
        <f>G470-F470</f>
        <v>214500</v>
      </c>
      <c r="I470" s="52">
        <f>H470/G470</f>
        <v>0.6</v>
      </c>
      <c r="J470" s="53" t="n"/>
      <c r="K470" s="54" t="n"/>
    </row>
    <row r="471">
      <c r="A471" s="39" t="inlineStr">
        <is>
          <t>Chloe</t>
        </is>
      </c>
      <c r="B471" s="47" t="inlineStr">
        <is>
          <t>CHLOE LOVE STORY EDP 75ML</t>
        </is>
      </c>
      <c r="C471" s="48" t="n">
        <v>75</v>
      </c>
      <c r="D471" s="49" t="inlineStr">
        <is>
          <t>Diseñador</t>
        </is>
      </c>
      <c r="E471" s="50" t="n">
        <v>86</v>
      </c>
      <c r="F471" s="51">
        <f>E471*$B$5*(1+$B$6)</f>
        <v>111800</v>
      </c>
      <c r="G471" s="51">
        <f>F471*$B$7</f>
        <v>279500</v>
      </c>
      <c r="H471" s="51">
        <f>G471-F471</f>
        <v>167700</v>
      </c>
      <c r="I471" s="52">
        <f>H471/G471</f>
        <v>0.6</v>
      </c>
      <c r="J471" s="53" t="n"/>
      <c r="K471" s="54" t="n"/>
    </row>
    <row r="472">
      <c r="A472" s="39" t="inlineStr">
        <is>
          <t>Chloe</t>
        </is>
      </c>
      <c r="B472" s="47" t="inlineStr">
        <is>
          <t>CHLOE LOVE STORY EDT 75ML</t>
        </is>
      </c>
      <c r="C472" s="48" t="n">
        <v>75</v>
      </c>
      <c r="D472" s="49" t="inlineStr">
        <is>
          <t>Diseñador</t>
        </is>
      </c>
      <c r="E472" s="50" t="n">
        <v>55</v>
      </c>
      <c r="F472" s="51">
        <f>E472*$B$5*(1+$B$6)</f>
        <v>71500</v>
      </c>
      <c r="G472" s="51">
        <f>F472*$B$7</f>
        <v>178750</v>
      </c>
      <c r="H472" s="51">
        <f>G472-F472</f>
        <v>107250</v>
      </c>
      <c r="I472" s="52">
        <f>H472/G472</f>
        <v>0.6</v>
      </c>
      <c r="J472" s="53" t="n"/>
      <c r="K472" s="54" t="n"/>
    </row>
    <row r="473">
      <c r="A473" s="39" t="inlineStr">
        <is>
          <t>Chloe</t>
        </is>
      </c>
      <c r="B473" s="47" t="inlineStr">
        <is>
          <t>CHLOE NOMADE EDP 75ML FEM</t>
        </is>
      </c>
      <c r="C473" s="48" t="n">
        <v>75</v>
      </c>
      <c r="D473" s="49" t="inlineStr">
        <is>
          <t>Diseñador</t>
        </is>
      </c>
      <c r="E473" s="50" t="n">
        <v>65</v>
      </c>
      <c r="F473" s="51">
        <f>E473*$B$5*(1+$B$6)</f>
        <v>84500</v>
      </c>
      <c r="G473" s="51">
        <f>F473*$B$7</f>
        <v>211250</v>
      </c>
      <c r="H473" s="51">
        <f>G473-F473</f>
        <v>126750</v>
      </c>
      <c r="I473" s="52">
        <f>H473/G473</f>
        <v>0.6</v>
      </c>
      <c r="J473" s="53" t="n"/>
      <c r="K473" s="54" t="n"/>
    </row>
    <row r="474">
      <c r="A474" s="39" t="inlineStr">
        <is>
          <t>Chloe</t>
        </is>
      </c>
      <c r="B474" s="47" t="inlineStr">
        <is>
          <t>CHLOE NOMADE JASMIN NATUREL EDP 75ML FEM</t>
        </is>
      </c>
      <c r="C474" s="48" t="n">
        <v>75</v>
      </c>
      <c r="D474" s="49" t="inlineStr">
        <is>
          <t>Diseñador</t>
        </is>
      </c>
      <c r="E474" s="50" t="n">
        <v>75</v>
      </c>
      <c r="F474" s="51">
        <f>E474*$B$5*(1+$B$6)</f>
        <v>97500</v>
      </c>
      <c r="G474" s="51">
        <f>F474*$B$7</f>
        <v>243750</v>
      </c>
      <c r="H474" s="51">
        <f>G474-F474</f>
        <v>146250</v>
      </c>
      <c r="I474" s="52">
        <f>H474/G474</f>
        <v>0.6</v>
      </c>
      <c r="J474" s="53" t="n"/>
      <c r="K474" s="54" t="n"/>
    </row>
    <row r="475">
      <c r="A475" s="39" t="inlineStr">
        <is>
          <t>Chloe</t>
        </is>
      </c>
      <c r="B475" s="47" t="inlineStr">
        <is>
          <t>CHLOE NOMADE JASMIN NATUREL INTENSE EDP 75ML FEM</t>
        </is>
      </c>
      <c r="C475" s="48" t="n">
        <v>75</v>
      </c>
      <c r="D475" s="49" t="inlineStr">
        <is>
          <t>Diseñador</t>
        </is>
      </c>
      <c r="E475" s="50" t="n">
        <v>90</v>
      </c>
      <c r="F475" s="51">
        <f>E475*$B$5*(1+$B$6)</f>
        <v>117000</v>
      </c>
      <c r="G475" s="51">
        <f>F475*$B$7</f>
        <v>292500</v>
      </c>
      <c r="H475" s="51">
        <f>G475-F475</f>
        <v>175500</v>
      </c>
      <c r="I475" s="52">
        <f>H475/G475</f>
        <v>0.6</v>
      </c>
      <c r="J475" s="53" t="n"/>
      <c r="K475" s="54" t="n"/>
    </row>
    <row r="476">
      <c r="A476" s="39" t="inlineStr">
        <is>
          <t>Chloe</t>
        </is>
      </c>
      <c r="B476" s="47" t="inlineStr">
        <is>
          <t>CHLOE ROSE TANGERINE EDT 75ML</t>
        </is>
      </c>
      <c r="C476" s="48" t="n">
        <v>75</v>
      </c>
      <c r="D476" s="49" t="inlineStr">
        <is>
          <t>Diseñador</t>
        </is>
      </c>
      <c r="E476" s="50" t="n">
        <v>65</v>
      </c>
      <c r="F476" s="51">
        <f>E476*$B$5*(1+$B$6)</f>
        <v>84500</v>
      </c>
      <c r="G476" s="51">
        <f>F476*$B$7</f>
        <v>211250</v>
      </c>
      <c r="H476" s="51">
        <f>G476-F476</f>
        <v>126750</v>
      </c>
      <c r="I476" s="52">
        <f>H476/G476</f>
        <v>0.6</v>
      </c>
      <c r="J476" s="53" t="n"/>
      <c r="K476" s="54" t="n"/>
    </row>
    <row r="477">
      <c r="A477" s="39" t="inlineStr">
        <is>
          <t>Chloe</t>
        </is>
      </c>
      <c r="B477" s="47" t="inlineStr">
        <is>
          <t>TESTER CHLOE EDP 75ML</t>
        </is>
      </c>
      <c r="C477" s="48" t="n">
        <v>75</v>
      </c>
      <c r="D477" s="49" t="inlineStr">
        <is>
          <t>Tester</t>
        </is>
      </c>
      <c r="E477" s="50" t="n">
        <v>57</v>
      </c>
      <c r="F477" s="51">
        <f>E477*$B$5*(1+$B$6)</f>
        <v>74100</v>
      </c>
      <c r="G477" s="51">
        <f>F477*$B$7</f>
        <v>185250</v>
      </c>
      <c r="H477" s="51">
        <f>G477-F477</f>
        <v>111150</v>
      </c>
      <c r="I477" s="52">
        <f>H477/G477</f>
        <v>0.6</v>
      </c>
      <c r="J477" s="53" t="n"/>
      <c r="K477" s="54" t="n"/>
    </row>
    <row r="478">
      <c r="A478" s="39" t="inlineStr">
        <is>
          <t>Chloe</t>
        </is>
      </c>
      <c r="B478" s="47" t="inlineStr">
        <is>
          <t>TESTER CHLOE NOMADE EDP 75ML</t>
        </is>
      </c>
      <c r="C478" s="48" t="n">
        <v>75</v>
      </c>
      <c r="D478" s="49" t="inlineStr">
        <is>
          <t>Tester</t>
        </is>
      </c>
      <c r="E478" s="50" t="n">
        <v>56</v>
      </c>
      <c r="F478" s="51">
        <f>E478*$B$5*(1+$B$6)</f>
        <v>72800</v>
      </c>
      <c r="G478" s="51">
        <f>F478*$B$7</f>
        <v>182000</v>
      </c>
      <c r="H478" s="51">
        <f>G478-F478</f>
        <v>109200</v>
      </c>
      <c r="I478" s="52">
        <f>H478/G478</f>
        <v>0.6</v>
      </c>
      <c r="J478" s="53" t="n"/>
      <c r="K478" s="54" t="n"/>
    </row>
    <row r="479">
      <c r="A479" s="39" t="inlineStr">
        <is>
          <t>Christian Dior</t>
        </is>
      </c>
      <c r="B479" s="47" t="inlineStr">
        <is>
          <t>CHRISTIAN DIOR ESCALE A PORTOFINO FOR WOMEN EDT 125ML</t>
        </is>
      </c>
      <c r="C479" s="48" t="n">
        <v>125</v>
      </c>
      <c r="D479" s="49" t="inlineStr">
        <is>
          <t>Diseñador</t>
        </is>
      </c>
      <c r="E479" s="50" t="n">
        <v>200</v>
      </c>
      <c r="F479" s="51">
        <f>E479*$B$5*(1+$B$6)</f>
        <v>260000</v>
      </c>
      <c r="G479" s="51">
        <f>F479*$B$7</f>
        <v>650000</v>
      </c>
      <c r="H479" s="51">
        <f>G479-F479</f>
        <v>390000</v>
      </c>
      <c r="I479" s="52">
        <f>H479/G479</f>
        <v>0.6</v>
      </c>
      <c r="J479" s="53" t="n"/>
      <c r="K479" s="54" t="n"/>
    </row>
    <row r="480">
      <c r="A480" s="39" t="inlineStr">
        <is>
          <t>Christian Dior</t>
        </is>
      </c>
      <c r="B480" s="47" t="inlineStr">
        <is>
          <t>DIOR ADDICT EDP 100ML</t>
        </is>
      </c>
      <c r="C480" s="48" t="n">
        <v>100</v>
      </c>
      <c r="D480" s="49" t="inlineStr">
        <is>
          <t>Diseñador</t>
        </is>
      </c>
      <c r="E480" s="50" t="n">
        <v>110</v>
      </c>
      <c r="F480" s="51">
        <f>E480*$B$5*(1+$B$6)</f>
        <v>143000</v>
      </c>
      <c r="G480" s="51">
        <f>F480*$B$7</f>
        <v>357500</v>
      </c>
      <c r="H480" s="51">
        <f>G480-F480</f>
        <v>214500</v>
      </c>
      <c r="I480" s="52">
        <f>H480/G480</f>
        <v>0.6</v>
      </c>
      <c r="J480" s="53" t="n"/>
      <c r="K480" s="54" t="n"/>
    </row>
    <row r="481">
      <c r="A481" s="39" t="inlineStr">
        <is>
          <t>Christian Dior</t>
        </is>
      </c>
      <c r="B481" s="47" t="inlineStr">
        <is>
          <t>DIOR ADDICT EDT 100ML</t>
        </is>
      </c>
      <c r="C481" s="48" t="n">
        <v>100</v>
      </c>
      <c r="D481" s="49" t="inlineStr">
        <is>
          <t>Diseñador</t>
        </is>
      </c>
      <c r="E481" s="50" t="n">
        <v>95</v>
      </c>
      <c r="F481" s="51">
        <f>E481*$B$5*(1+$B$6)</f>
        <v>123500</v>
      </c>
      <c r="G481" s="51">
        <f>F481*$B$7</f>
        <v>308750</v>
      </c>
      <c r="H481" s="51">
        <f>G481-F481</f>
        <v>185250</v>
      </c>
      <c r="I481" s="52">
        <f>H481/G481</f>
        <v>0.6</v>
      </c>
      <c r="J481" s="53" t="n"/>
      <c r="K481" s="54" t="n"/>
    </row>
    <row r="482">
      <c r="A482" s="39" t="inlineStr">
        <is>
          <t>Christian Dior</t>
        </is>
      </c>
      <c r="B482" s="47" t="inlineStr">
        <is>
          <t>DIOR FAHRENHEIT EDT 100ML MASC</t>
        </is>
      </c>
      <c r="C482" s="48" t="n">
        <v>100</v>
      </c>
      <c r="D482" s="49" t="inlineStr">
        <is>
          <t>Diseñador</t>
        </is>
      </c>
      <c r="E482" s="50" t="n">
        <v>75</v>
      </c>
      <c r="F482" s="51">
        <f>E482*$B$5*(1+$B$6)</f>
        <v>97500</v>
      </c>
      <c r="G482" s="51">
        <f>F482*$B$7</f>
        <v>243750</v>
      </c>
      <c r="H482" s="51">
        <f>G482-F482</f>
        <v>146250</v>
      </c>
      <c r="I482" s="52">
        <f>H482/G482</f>
        <v>0.6</v>
      </c>
      <c r="J482" s="53" t="n"/>
      <c r="K482" s="54" t="n"/>
    </row>
    <row r="483">
      <c r="A483" s="39" t="inlineStr">
        <is>
          <t>Christian Dior</t>
        </is>
      </c>
      <c r="B483" s="47" t="inlineStr">
        <is>
          <t>DIOR HOMME EDT 100ML MASC</t>
        </is>
      </c>
      <c r="C483" s="48" t="n">
        <v>100</v>
      </c>
      <c r="D483" s="49" t="inlineStr">
        <is>
          <t>Diseñador</t>
        </is>
      </c>
      <c r="E483" s="50" t="n">
        <v>85</v>
      </c>
      <c r="F483" s="51">
        <f>E483*$B$5*(1+$B$6)</f>
        <v>110500</v>
      </c>
      <c r="G483" s="51">
        <f>F483*$B$7</f>
        <v>276250</v>
      </c>
      <c r="H483" s="51">
        <f>G483-F483</f>
        <v>165750</v>
      </c>
      <c r="I483" s="52">
        <f>H483/G483</f>
        <v>0.6</v>
      </c>
      <c r="J483" s="53" t="n"/>
      <c r="K483" s="54" t="n"/>
    </row>
    <row r="484">
      <c r="A484" s="39" t="inlineStr">
        <is>
          <t>Christian Dior</t>
        </is>
      </c>
      <c r="B484" s="47" t="inlineStr">
        <is>
          <t>DIOR HOMME EDT 150ML MASC</t>
        </is>
      </c>
      <c r="C484" s="48" t="n">
        <v>150</v>
      </c>
      <c r="D484" s="49" t="inlineStr">
        <is>
          <t>Diseñador</t>
        </is>
      </c>
      <c r="E484" s="50" t="n">
        <v>110</v>
      </c>
      <c r="F484" s="51">
        <f>E484*$B$5*(1+$B$6)</f>
        <v>143000</v>
      </c>
      <c r="G484" s="51">
        <f>F484*$B$7</f>
        <v>357500</v>
      </c>
      <c r="H484" s="51">
        <f>G484-F484</f>
        <v>214500</v>
      </c>
      <c r="I484" s="52">
        <f>H484/G484</f>
        <v>0.6</v>
      </c>
      <c r="J484" s="53" t="n"/>
      <c r="K484" s="54" t="n"/>
    </row>
    <row r="485">
      <c r="A485" s="39" t="inlineStr">
        <is>
          <t>Christian Dior</t>
        </is>
      </c>
      <c r="B485" s="47" t="inlineStr">
        <is>
          <t>DIOR HOMME EDT 50ML MASC</t>
        </is>
      </c>
      <c r="C485" s="48" t="n">
        <v>50</v>
      </c>
      <c r="D485" s="49" t="inlineStr">
        <is>
          <t>Diseñador</t>
        </is>
      </c>
      <c r="E485" s="50" t="n">
        <v>62</v>
      </c>
      <c r="F485" s="51">
        <f>E485*$B$5*(1+$B$6)</f>
        <v>80600</v>
      </c>
      <c r="G485" s="51">
        <f>F485*$B$7</f>
        <v>201500</v>
      </c>
      <c r="H485" s="51">
        <f>G485-F485</f>
        <v>120900</v>
      </c>
      <c r="I485" s="52">
        <f>H485/G485</f>
        <v>0.6</v>
      </c>
      <c r="J485" s="53" t="n"/>
      <c r="K485" s="54" t="n"/>
    </row>
    <row r="486">
      <c r="A486" s="39" t="inlineStr">
        <is>
          <t>Christian Dior</t>
        </is>
      </c>
      <c r="B486" s="47" t="inlineStr">
        <is>
          <t>DIOR HOMME INTENSE EDP 100ML MASC</t>
        </is>
      </c>
      <c r="C486" s="48" t="n">
        <v>100</v>
      </c>
      <c r="D486" s="49" t="inlineStr">
        <is>
          <t>Diseñador</t>
        </is>
      </c>
      <c r="E486" s="50" t="n">
        <v>99</v>
      </c>
      <c r="F486" s="51">
        <f>E486*$B$5*(1+$B$6)</f>
        <v>128700</v>
      </c>
      <c r="G486" s="51">
        <f>F486*$B$7</f>
        <v>321750</v>
      </c>
      <c r="H486" s="51">
        <f>G486-F486</f>
        <v>193050</v>
      </c>
      <c r="I486" s="52">
        <f>H486/G486</f>
        <v>0.6</v>
      </c>
      <c r="J486" s="53" t="n"/>
      <c r="K486" s="54" t="n"/>
    </row>
    <row r="487">
      <c r="A487" s="39" t="inlineStr">
        <is>
          <t>Christian Dior</t>
        </is>
      </c>
      <c r="B487" s="47" t="inlineStr">
        <is>
          <t>DIOR HOMME PARFUM 75ML MASC</t>
        </is>
      </c>
      <c r="C487" s="48" t="n">
        <v>75</v>
      </c>
      <c r="D487" s="49" t="inlineStr">
        <is>
          <t>Diseñador</t>
        </is>
      </c>
      <c r="E487" s="50" t="n">
        <v>115.5</v>
      </c>
      <c r="F487" s="51">
        <f>E487*$B$5*(1+$B$6)</f>
        <v>150150</v>
      </c>
      <c r="G487" s="51">
        <f>F487*$B$7</f>
        <v>375375</v>
      </c>
      <c r="H487" s="51">
        <f>G487-F487</f>
        <v>225225</v>
      </c>
      <c r="I487" s="52">
        <f>H487/G487</f>
        <v>0.6</v>
      </c>
      <c r="J487" s="53" t="n"/>
      <c r="K487" s="54" t="n"/>
    </row>
    <row r="488">
      <c r="A488" s="39" t="inlineStr">
        <is>
          <t>Christian Dior</t>
        </is>
      </c>
      <c r="B488" s="47" t="inlineStr">
        <is>
          <t>DIOR HOMME SPORT EDT 125ML MASCULINO</t>
        </is>
      </c>
      <c r="C488" s="48" t="n">
        <v>125</v>
      </c>
      <c r="D488" s="49" t="inlineStr">
        <is>
          <t>Diseñador</t>
        </is>
      </c>
      <c r="E488" s="50" t="n">
        <v>88</v>
      </c>
      <c r="F488" s="51">
        <f>E488*$B$5*(1+$B$6)</f>
        <v>114400</v>
      </c>
      <c r="G488" s="51">
        <f>F488*$B$7</f>
        <v>286000</v>
      </c>
      <c r="H488" s="51">
        <f>G488-F488</f>
        <v>171600</v>
      </c>
      <c r="I488" s="52">
        <f>H488/G488</f>
        <v>0.6</v>
      </c>
      <c r="J488" s="53" t="n"/>
      <c r="K488" s="54" t="n"/>
    </row>
    <row r="489">
      <c r="A489" s="39" t="inlineStr">
        <is>
          <t>Christian Dior</t>
        </is>
      </c>
      <c r="B489" s="47" t="inlineStr">
        <is>
          <t>DIOR HOMME SPORT MEN EDT 75ML</t>
        </is>
      </c>
      <c r="C489" s="48" t="n">
        <v>75</v>
      </c>
      <c r="D489" s="49" t="inlineStr">
        <is>
          <t>Diseñador</t>
        </is>
      </c>
      <c r="E489" s="50" t="n">
        <v>74</v>
      </c>
      <c r="F489" s="51">
        <f>E489*$B$5*(1+$B$6)</f>
        <v>96200</v>
      </c>
      <c r="G489" s="51">
        <f>F489*$B$7</f>
        <v>240500</v>
      </c>
      <c r="H489" s="51">
        <f>G489-F489</f>
        <v>144300</v>
      </c>
      <c r="I489" s="52">
        <f>H489/G489</f>
        <v>0.6</v>
      </c>
      <c r="J489" s="53" t="n"/>
      <c r="K489" s="54" t="n"/>
    </row>
    <row r="490">
      <c r="A490" s="39" t="inlineStr">
        <is>
          <t>Christian Dior</t>
        </is>
      </c>
      <c r="B490" s="47" t="inlineStr">
        <is>
          <t>DIOR J'ADORE EDP 100ML FEM</t>
        </is>
      </c>
      <c r="C490" s="48" t="n">
        <v>100</v>
      </c>
      <c r="D490" s="49" t="inlineStr">
        <is>
          <t>Diseñador</t>
        </is>
      </c>
      <c r="E490" s="50" t="n">
        <v>96</v>
      </c>
      <c r="F490" s="51">
        <f>E490*$B$5*(1+$B$6)</f>
        <v>124800</v>
      </c>
      <c r="G490" s="51">
        <f>F490*$B$7</f>
        <v>312000</v>
      </c>
      <c r="H490" s="51">
        <f>G490-F490</f>
        <v>187200</v>
      </c>
      <c r="I490" s="52">
        <f>H490/G490</f>
        <v>0.6</v>
      </c>
      <c r="J490" s="53" t="n"/>
      <c r="K490" s="54" t="n"/>
    </row>
    <row r="491">
      <c r="A491" s="39" t="inlineStr">
        <is>
          <t>Christian Dior</t>
        </is>
      </c>
      <c r="B491" s="47" t="inlineStr">
        <is>
          <t>DIOR J'ADORE PARFUM D'EAU EDP 100ML</t>
        </is>
      </c>
      <c r="C491" s="48" t="n">
        <v>100</v>
      </c>
      <c r="D491" s="49" t="inlineStr">
        <is>
          <t>Diseñador</t>
        </is>
      </c>
      <c r="E491" s="50" t="n">
        <v>100</v>
      </c>
      <c r="F491" s="51">
        <f>E491*$B$5*(1+$B$6)</f>
        <v>130000</v>
      </c>
      <c r="G491" s="51">
        <f>F491*$B$7</f>
        <v>325000</v>
      </c>
      <c r="H491" s="51">
        <f>G491-F491</f>
        <v>195000</v>
      </c>
      <c r="I491" s="52">
        <f>H491/G491</f>
        <v>0.6</v>
      </c>
      <c r="J491" s="53" t="n"/>
      <c r="K491" s="54" t="n"/>
    </row>
    <row r="492">
      <c r="A492" s="39" t="inlineStr">
        <is>
          <t>Christian Dior</t>
        </is>
      </c>
      <c r="B492" s="47" t="inlineStr">
        <is>
          <t>DIOR MISS DIOR BLOOMING BOUQUET EDT 100ML FEM</t>
        </is>
      </c>
      <c r="C492" s="48" t="n">
        <v>100</v>
      </c>
      <c r="D492" s="49" t="inlineStr">
        <is>
          <t>Diseñador</t>
        </is>
      </c>
      <c r="E492" s="50" t="n">
        <v>93</v>
      </c>
      <c r="F492" s="51">
        <f>E492*$B$5*(1+$B$6)</f>
        <v>120900</v>
      </c>
      <c r="G492" s="51">
        <f>F492*$B$7</f>
        <v>302250</v>
      </c>
      <c r="H492" s="51">
        <f>G492-F492</f>
        <v>181350</v>
      </c>
      <c r="I492" s="52">
        <f>H492/G492</f>
        <v>0.6</v>
      </c>
      <c r="J492" s="53" t="n"/>
      <c r="K492" s="54" t="n"/>
    </row>
    <row r="493">
      <c r="A493" s="39" t="inlineStr">
        <is>
          <t>Christian Dior</t>
        </is>
      </c>
      <c r="B493" s="47" t="inlineStr">
        <is>
          <t>DIOR MISS DIOR BLOOMING BOUQUET EDT 150ML</t>
        </is>
      </c>
      <c r="C493" s="48" t="n">
        <v>150</v>
      </c>
      <c r="D493" s="49" t="inlineStr">
        <is>
          <t>Diseñador</t>
        </is>
      </c>
      <c r="E493" s="50" t="n">
        <v>106</v>
      </c>
      <c r="F493" s="51">
        <f>E493*$B$5*(1+$B$6)</f>
        <v>137800</v>
      </c>
      <c r="G493" s="51">
        <f>F493*$B$7</f>
        <v>344500</v>
      </c>
      <c r="H493" s="51">
        <f>G493-F493</f>
        <v>206700</v>
      </c>
      <c r="I493" s="52">
        <f>H493/G493</f>
        <v>0.6</v>
      </c>
      <c r="J493" s="53" t="n"/>
      <c r="K493" s="54" t="n"/>
    </row>
    <row r="494">
      <c r="A494" s="39" t="inlineStr">
        <is>
          <t>Christian Dior</t>
        </is>
      </c>
      <c r="B494" s="47" t="inlineStr">
        <is>
          <t>DIOR MISS DIOR EDP 150ML</t>
        </is>
      </c>
      <c r="C494" s="48" t="n">
        <v>150</v>
      </c>
      <c r="D494" s="49" t="inlineStr">
        <is>
          <t>Diseñador</t>
        </is>
      </c>
      <c r="E494" s="50" t="n">
        <v>122</v>
      </c>
      <c r="F494" s="51">
        <f>E494*$B$5*(1+$B$6)</f>
        <v>158600</v>
      </c>
      <c r="G494" s="51">
        <f>F494*$B$7</f>
        <v>396500</v>
      </c>
      <c r="H494" s="51">
        <f>G494-F494</f>
        <v>237900</v>
      </c>
      <c r="I494" s="52">
        <f>H494/G494</f>
        <v>0.6</v>
      </c>
      <c r="J494" s="53" t="n"/>
      <c r="K494" s="54" t="n"/>
    </row>
    <row r="495">
      <c r="A495" s="39" t="inlineStr">
        <is>
          <t>Christian Dior</t>
        </is>
      </c>
      <c r="B495" s="47" t="inlineStr">
        <is>
          <t>DIOR MISS DIOR PARFUM 80ML</t>
        </is>
      </c>
      <c r="C495" s="48" t="n">
        <v>80</v>
      </c>
      <c r="D495" s="49" t="inlineStr">
        <is>
          <t>Diseñador</t>
        </is>
      </c>
      <c r="E495" s="50" t="n">
        <v>96</v>
      </c>
      <c r="F495" s="51">
        <f>E495*$B$5*(1+$B$6)</f>
        <v>124800</v>
      </c>
      <c r="G495" s="51">
        <f>F495*$B$7</f>
        <v>312000</v>
      </c>
      <c r="H495" s="51">
        <f>G495-F495</f>
        <v>187200</v>
      </c>
      <c r="I495" s="52">
        <f>H495/G495</f>
        <v>0.6</v>
      </c>
      <c r="J495" s="53" t="n"/>
      <c r="K495" s="54" t="n"/>
    </row>
    <row r="496">
      <c r="A496" s="39" t="inlineStr">
        <is>
          <t>Christian Dior</t>
        </is>
      </c>
      <c r="B496" s="47" t="inlineStr">
        <is>
          <t>DIOR POISON HYPNOTIC EDP 50ML</t>
        </is>
      </c>
      <c r="C496" s="48" t="n">
        <v>50</v>
      </c>
      <c r="D496" s="49" t="inlineStr">
        <is>
          <t>Diseñador</t>
        </is>
      </c>
      <c r="E496" s="50" t="n">
        <v>78</v>
      </c>
      <c r="F496" s="51">
        <f>E496*$B$5*(1+$B$6)</f>
        <v>101400</v>
      </c>
      <c r="G496" s="51">
        <f>F496*$B$7</f>
        <v>253500</v>
      </c>
      <c r="H496" s="51">
        <f>G496-F496</f>
        <v>152100</v>
      </c>
      <c r="I496" s="52">
        <f>H496/G496</f>
        <v>0.6</v>
      </c>
      <c r="J496" s="53" t="n"/>
      <c r="K496" s="54" t="n"/>
    </row>
    <row r="497">
      <c r="A497" s="39" t="inlineStr">
        <is>
          <t>Christian Dior</t>
        </is>
      </c>
      <c r="B497" s="47" t="inlineStr">
        <is>
          <t>DIOR SAUVAGE EAU FORTE PARFUM 100ML</t>
        </is>
      </c>
      <c r="C497" s="48" t="n">
        <v>100</v>
      </c>
      <c r="D497" s="49" t="inlineStr">
        <is>
          <t>Diseñador</t>
        </is>
      </c>
      <c r="E497" s="50" t="n">
        <v>118</v>
      </c>
      <c r="F497" s="51">
        <f>E497*$B$5*(1+$B$6)</f>
        <v>153400</v>
      </c>
      <c r="G497" s="51">
        <f>F497*$B$7</f>
        <v>383500</v>
      </c>
      <c r="H497" s="51">
        <f>G497-F497</f>
        <v>230100</v>
      </c>
      <c r="I497" s="52">
        <f>H497/G497</f>
        <v>0.6</v>
      </c>
      <c r="J497" s="53" t="n"/>
      <c r="K497" s="54" t="n"/>
    </row>
    <row r="498">
      <c r="A498" s="39" t="inlineStr">
        <is>
          <t>Christian Dior</t>
        </is>
      </c>
      <c r="B498" s="47" t="inlineStr">
        <is>
          <t>DIOR SAUVAGE EDP 100ML</t>
        </is>
      </c>
      <c r="C498" s="48" t="n">
        <v>100</v>
      </c>
      <c r="D498" s="49" t="inlineStr">
        <is>
          <t>Diseñador</t>
        </is>
      </c>
      <c r="E498" s="50" t="n">
        <v>103</v>
      </c>
      <c r="F498" s="51">
        <f>E498*$B$5*(1+$B$6)</f>
        <v>133900</v>
      </c>
      <c r="G498" s="51">
        <f>F498*$B$7</f>
        <v>334750</v>
      </c>
      <c r="H498" s="51">
        <f>G498-F498</f>
        <v>200850</v>
      </c>
      <c r="I498" s="52">
        <f>H498/G498</f>
        <v>0.6</v>
      </c>
      <c r="J498" s="53" t="n"/>
      <c r="K498" s="54" t="n"/>
    </row>
    <row r="499">
      <c r="A499" s="39" t="inlineStr">
        <is>
          <t>Christian Dior</t>
        </is>
      </c>
      <c r="B499" s="47" t="inlineStr">
        <is>
          <t>DIOR SAUVAGE EDP 200ML</t>
        </is>
      </c>
      <c r="C499" s="48" t="n">
        <v>200</v>
      </c>
      <c r="D499" s="49" t="inlineStr">
        <is>
          <t>Diseñador</t>
        </is>
      </c>
      <c r="E499" s="50" t="n">
        <v>145</v>
      </c>
      <c r="F499" s="51">
        <f>E499*$B$5*(1+$B$6)</f>
        <v>188500</v>
      </c>
      <c r="G499" s="51">
        <f>F499*$B$7</f>
        <v>471250</v>
      </c>
      <c r="H499" s="51">
        <f>G499-F499</f>
        <v>282750</v>
      </c>
      <c r="I499" s="52">
        <f>H499/G499</f>
        <v>0.6</v>
      </c>
      <c r="J499" s="53" t="n"/>
      <c r="K499" s="54" t="n"/>
    </row>
    <row r="500">
      <c r="A500" s="39" t="inlineStr">
        <is>
          <t>Christian Dior</t>
        </is>
      </c>
      <c r="B500" s="47" t="inlineStr">
        <is>
          <t>DIOR SAUVAGE EDP 60ML</t>
        </is>
      </c>
      <c r="C500" s="48" t="n">
        <v>60</v>
      </c>
      <c r="D500" s="49" t="inlineStr">
        <is>
          <t>Diseñador</t>
        </is>
      </c>
      <c r="E500" s="50" t="n">
        <v>94</v>
      </c>
      <c r="F500" s="51">
        <f>E500*$B$5*(1+$B$6)</f>
        <v>122200</v>
      </c>
      <c r="G500" s="51">
        <f>F500*$B$7</f>
        <v>305500</v>
      </c>
      <c r="H500" s="51">
        <f>G500-F500</f>
        <v>183300</v>
      </c>
      <c r="I500" s="52">
        <f>H500/G500</f>
        <v>0.6</v>
      </c>
      <c r="J500" s="53" t="n"/>
      <c r="K500" s="54" t="n"/>
    </row>
    <row r="501">
      <c r="A501" s="39" t="inlineStr">
        <is>
          <t>Christian Dior</t>
        </is>
      </c>
      <c r="B501" s="47" t="inlineStr">
        <is>
          <t>DIOR SAUVAGE EDT 100ML</t>
        </is>
      </c>
      <c r="C501" s="48" t="n">
        <v>100</v>
      </c>
      <c r="D501" s="49" t="inlineStr">
        <is>
          <t>Diseñador</t>
        </is>
      </c>
      <c r="E501" s="50" t="n">
        <v>85</v>
      </c>
      <c r="F501" s="51">
        <f>E501*$B$5*(1+$B$6)</f>
        <v>110500</v>
      </c>
      <c r="G501" s="51">
        <f>F501*$B$7</f>
        <v>276250</v>
      </c>
      <c r="H501" s="51">
        <f>G501-F501</f>
        <v>165750</v>
      </c>
      <c r="I501" s="52">
        <f>H501/G501</f>
        <v>0.6</v>
      </c>
      <c r="J501" s="53" t="n"/>
      <c r="K501" s="54" t="n"/>
    </row>
    <row r="502">
      <c r="A502" s="39" t="inlineStr">
        <is>
          <t>Christian Dior</t>
        </is>
      </c>
      <c r="B502" s="47" t="inlineStr">
        <is>
          <t>DIOR SAUVAGE ELIXIR 60ML</t>
        </is>
      </c>
      <c r="C502" s="48" t="n">
        <v>60</v>
      </c>
      <c r="D502" s="49" t="inlineStr">
        <is>
          <t>Diseñador</t>
        </is>
      </c>
      <c r="E502" s="50" t="n">
        <v>115</v>
      </c>
      <c r="F502" s="51">
        <f>E502*$B$5*(1+$B$6)</f>
        <v>149500</v>
      </c>
      <c r="G502" s="51">
        <f>F502*$B$7</f>
        <v>373750</v>
      </c>
      <c r="H502" s="51">
        <f>G502-F502</f>
        <v>224250</v>
      </c>
      <c r="I502" s="52">
        <f>H502/G502</f>
        <v>0.6</v>
      </c>
      <c r="J502" s="53" t="n"/>
      <c r="K502" s="54" t="n"/>
    </row>
    <row r="503">
      <c r="A503" s="39" t="inlineStr">
        <is>
          <t>Christian Dior</t>
        </is>
      </c>
      <c r="B503" s="47" t="inlineStr">
        <is>
          <t>DIOR SAUVAGE PARFUM 100ML MASC</t>
        </is>
      </c>
      <c r="C503" s="48" t="n">
        <v>100</v>
      </c>
      <c r="D503" s="49" t="inlineStr">
        <is>
          <t>Diseñador</t>
        </is>
      </c>
      <c r="E503" s="50" t="n">
        <v>125</v>
      </c>
      <c r="F503" s="51">
        <f>E503*$B$5*(1+$B$6)</f>
        <v>162500</v>
      </c>
      <c r="G503" s="51">
        <f>F503*$B$7</f>
        <v>406250</v>
      </c>
      <c r="H503" s="51">
        <f>G503-F503</f>
        <v>243750</v>
      </c>
      <c r="I503" s="52">
        <f>H503/G503</f>
        <v>0.6</v>
      </c>
      <c r="J503" s="53" t="n"/>
      <c r="K503" s="54" t="n"/>
    </row>
    <row r="504">
      <c r="A504" s="39" t="inlineStr">
        <is>
          <t>Christian Dior</t>
        </is>
      </c>
      <c r="B504" s="47" t="inlineStr">
        <is>
          <t>DIOR SAUVAGE PARFUM 200ML MASC</t>
        </is>
      </c>
      <c r="C504" s="48" t="n">
        <v>200</v>
      </c>
      <c r="D504" s="49" t="inlineStr">
        <is>
          <t>Diseñador</t>
        </is>
      </c>
      <c r="E504" s="50" t="n">
        <v>179</v>
      </c>
      <c r="F504" s="51">
        <f>E504*$B$5*(1+$B$6)</f>
        <v>232700</v>
      </c>
      <c r="G504" s="51">
        <f>F504*$B$7</f>
        <v>581750</v>
      </c>
      <c r="H504" s="51">
        <f>G504-F504</f>
        <v>349050</v>
      </c>
      <c r="I504" s="52">
        <f>H504/G504</f>
        <v>0.6</v>
      </c>
      <c r="J504" s="53" t="n"/>
      <c r="K504" s="54" t="n"/>
    </row>
    <row r="505">
      <c r="A505" s="39" t="inlineStr">
        <is>
          <t>Christian Dior</t>
        </is>
      </c>
      <c r="B505" s="47" t="inlineStr">
        <is>
          <t>DIOR SAUVAGE PARFUM 60ML MASC</t>
        </is>
      </c>
      <c r="C505" s="48" t="n">
        <v>60</v>
      </c>
      <c r="D505" s="49" t="inlineStr">
        <is>
          <t>Diseñador</t>
        </is>
      </c>
      <c r="E505" s="50" t="n">
        <v>102</v>
      </c>
      <c r="F505" s="51">
        <f>E505*$B$5*(1+$B$6)</f>
        <v>132600</v>
      </c>
      <c r="G505" s="51">
        <f>F505*$B$7</f>
        <v>331500</v>
      </c>
      <c r="H505" s="51">
        <f>G505-F505</f>
        <v>198900</v>
      </c>
      <c r="I505" s="52">
        <f>H505/G505</f>
        <v>0.6</v>
      </c>
      <c r="J505" s="53" t="n"/>
      <c r="K505" s="54" t="n"/>
    </row>
    <row r="506">
      <c r="A506" s="39" t="inlineStr">
        <is>
          <t>Christian Dior</t>
        </is>
      </c>
      <c r="B506" s="47" t="inlineStr">
        <is>
          <t>TESTER DIOR ADDICT EDP 100ML</t>
        </is>
      </c>
      <c r="C506" s="48" t="n">
        <v>100</v>
      </c>
      <c r="D506" s="49" t="inlineStr">
        <is>
          <t>Tester</t>
        </is>
      </c>
      <c r="E506" s="50" t="n">
        <v>96</v>
      </c>
      <c r="F506" s="51">
        <f>E506*$B$5*(1+$B$6)</f>
        <v>124800</v>
      </c>
      <c r="G506" s="51">
        <f>F506*$B$7</f>
        <v>312000</v>
      </c>
      <c r="H506" s="51">
        <f>G506-F506</f>
        <v>187200</v>
      </c>
      <c r="I506" s="52">
        <f>H506/G506</f>
        <v>0.6</v>
      </c>
      <c r="J506" s="53" t="n"/>
      <c r="K506" s="54" t="n"/>
    </row>
    <row r="507">
      <c r="A507" s="39" t="inlineStr">
        <is>
          <t>Christian Dior</t>
        </is>
      </c>
      <c r="B507" s="47" t="inlineStr">
        <is>
          <t>TESTER DIOR ADDICT EDT 100ML C/T</t>
        </is>
      </c>
      <c r="C507" s="48" t="n">
        <v>100</v>
      </c>
      <c r="D507" s="49" t="inlineStr">
        <is>
          <t>Tester</t>
        </is>
      </c>
      <c r="E507" s="50" t="n">
        <v>89</v>
      </c>
      <c r="F507" s="51">
        <f>E507*$B$5*(1+$B$6)</f>
        <v>115700</v>
      </c>
      <c r="G507" s="51">
        <f>F507*$B$7</f>
        <v>289250</v>
      </c>
      <c r="H507" s="51">
        <f>G507-F507</f>
        <v>173550</v>
      </c>
      <c r="I507" s="52">
        <f>H507/G507</f>
        <v>0.6</v>
      </c>
      <c r="J507" s="53" t="n"/>
      <c r="K507" s="54" t="n"/>
    </row>
    <row r="508">
      <c r="A508" s="39" t="inlineStr">
        <is>
          <t>Christian Dior</t>
        </is>
      </c>
      <c r="B508" s="47" t="inlineStr">
        <is>
          <t>TESTER DIOR HOMME EDT 100ML</t>
        </is>
      </c>
      <c r="C508" s="48" t="n">
        <v>100</v>
      </c>
      <c r="D508" s="49" t="inlineStr">
        <is>
          <t>Tester</t>
        </is>
      </c>
      <c r="E508" s="50" t="n">
        <v>76</v>
      </c>
      <c r="F508" s="51">
        <f>E508*$B$5*(1+$B$6)</f>
        <v>98800</v>
      </c>
      <c r="G508" s="51">
        <f>F508*$B$7</f>
        <v>247000</v>
      </c>
      <c r="H508" s="51">
        <f>G508-F508</f>
        <v>148200</v>
      </c>
      <c r="I508" s="52">
        <f>H508/G508</f>
        <v>0.6</v>
      </c>
      <c r="J508" s="53" t="n"/>
      <c r="K508" s="54" t="n"/>
    </row>
    <row r="509">
      <c r="A509" s="39" t="inlineStr">
        <is>
          <t>Christian Dior</t>
        </is>
      </c>
      <c r="B509" s="47" t="inlineStr">
        <is>
          <t>TESTER DIOR HOMME PARFUM 75ML C/T</t>
        </is>
      </c>
      <c r="C509" s="48" t="n">
        <v>75</v>
      </c>
      <c r="D509" s="49" t="inlineStr">
        <is>
          <t>Tester</t>
        </is>
      </c>
      <c r="E509" s="50" t="n">
        <v>88</v>
      </c>
      <c r="F509" s="51">
        <f>E509*$B$5*(1+$B$6)</f>
        <v>114400</v>
      </c>
      <c r="G509" s="51">
        <f>F509*$B$7</f>
        <v>286000</v>
      </c>
      <c r="H509" s="51">
        <f>G509-F509</f>
        <v>171600</v>
      </c>
      <c r="I509" s="52">
        <f>H509/G509</f>
        <v>0.6</v>
      </c>
      <c r="J509" s="53" t="n"/>
      <c r="K509" s="54" t="n"/>
    </row>
    <row r="510">
      <c r="A510" s="39" t="inlineStr">
        <is>
          <t>Christian Dior</t>
        </is>
      </c>
      <c r="B510" s="47" t="inlineStr">
        <is>
          <t>TESTER DIOR HYPNOTIC POISON EDP 100ML C/T</t>
        </is>
      </c>
      <c r="C510" s="48" t="n">
        <v>100</v>
      </c>
      <c r="D510" s="49" t="inlineStr">
        <is>
          <t>Tester</t>
        </is>
      </c>
      <c r="E510" s="50" t="n">
        <v>84</v>
      </c>
      <c r="F510" s="51">
        <f>E510*$B$5*(1+$B$6)</f>
        <v>109200</v>
      </c>
      <c r="G510" s="51">
        <f>F510*$B$7</f>
        <v>273000</v>
      </c>
      <c r="H510" s="51">
        <f>G510-F510</f>
        <v>163800</v>
      </c>
      <c r="I510" s="52">
        <f>H510/G510</f>
        <v>0.6</v>
      </c>
      <c r="J510" s="53" t="n"/>
      <c r="K510" s="54" t="n"/>
    </row>
    <row r="511">
      <c r="A511" s="39" t="inlineStr">
        <is>
          <t>Christian Dior</t>
        </is>
      </c>
      <c r="B511" s="47" t="inlineStr">
        <is>
          <t>TESTER DIOR J'ADORE EDP 100ML</t>
        </is>
      </c>
      <c r="C511" s="48" t="n">
        <v>100</v>
      </c>
      <c r="D511" s="49" t="inlineStr">
        <is>
          <t>Tester</t>
        </is>
      </c>
      <c r="E511" s="50" t="n">
        <v>82</v>
      </c>
      <c r="F511" s="51">
        <f>E511*$B$5*(1+$B$6)</f>
        <v>106600</v>
      </c>
      <c r="G511" s="51">
        <f>F511*$B$7</f>
        <v>266500</v>
      </c>
      <c r="H511" s="51">
        <f>G511-F511</f>
        <v>159900</v>
      </c>
      <c r="I511" s="52">
        <f>H511/G511</f>
        <v>0.6</v>
      </c>
      <c r="J511" s="53" t="n"/>
      <c r="K511" s="54" t="n"/>
    </row>
    <row r="512">
      <c r="A512" s="39" t="inlineStr">
        <is>
          <t>Christian Dior</t>
        </is>
      </c>
      <c r="B512" s="47" t="inlineStr">
        <is>
          <t>TESTER DIOR J'ADORE PARFUM D'EAU 100ML</t>
        </is>
      </c>
      <c r="C512" s="48" t="n">
        <v>100</v>
      </c>
      <c r="D512" s="49" t="inlineStr">
        <is>
          <t>Tester</t>
        </is>
      </c>
      <c r="E512" s="50" t="n">
        <v>84.5</v>
      </c>
      <c r="F512" s="51">
        <f>E512*$B$5*(1+$B$6)</f>
        <v>109850</v>
      </c>
      <c r="G512" s="51">
        <f>F512*$B$7</f>
        <v>274625</v>
      </c>
      <c r="H512" s="51">
        <f>G512-F512</f>
        <v>164775</v>
      </c>
      <c r="I512" s="52">
        <f>H512/G512</f>
        <v>0.6</v>
      </c>
      <c r="J512" s="53" t="n"/>
      <c r="K512" s="54" t="n"/>
    </row>
    <row r="513">
      <c r="A513" s="39" t="inlineStr">
        <is>
          <t>Christian Dior</t>
        </is>
      </c>
      <c r="B513" s="47" t="inlineStr">
        <is>
          <t>TESTER DIOR MISS DIOR N'ROSES EDT 100ML FEM C/T</t>
        </is>
      </c>
      <c r="C513" s="48" t="n">
        <v>100</v>
      </c>
      <c r="D513" s="49" t="inlineStr">
        <is>
          <t>Tester</t>
        </is>
      </c>
      <c r="E513" s="50" t="n">
        <v>83</v>
      </c>
      <c r="F513" s="51">
        <f>E513*$B$5*(1+$B$6)</f>
        <v>107900</v>
      </c>
      <c r="G513" s="51">
        <f>F513*$B$7</f>
        <v>269750</v>
      </c>
      <c r="H513" s="51">
        <f>G513-F513</f>
        <v>161850</v>
      </c>
      <c r="I513" s="52">
        <f>H513/G513</f>
        <v>0.6</v>
      </c>
      <c r="J513" s="53" t="n"/>
      <c r="K513" s="54" t="n"/>
    </row>
    <row r="514">
      <c r="A514" s="39" t="inlineStr">
        <is>
          <t>Christian Dior</t>
        </is>
      </c>
      <c r="B514" s="47" t="inlineStr">
        <is>
          <t>TESTER DIOR SAUVAGE EDP 100ML MASC C/T</t>
        </is>
      </c>
      <c r="C514" s="48" t="n">
        <v>100</v>
      </c>
      <c r="D514" s="49" t="inlineStr">
        <is>
          <t>Tester</t>
        </is>
      </c>
      <c r="E514" s="50" t="n">
        <v>89</v>
      </c>
      <c r="F514" s="51">
        <f>E514*$B$5*(1+$B$6)</f>
        <v>115700</v>
      </c>
      <c r="G514" s="51">
        <f>F514*$B$7</f>
        <v>289250</v>
      </c>
      <c r="H514" s="51">
        <f>G514-F514</f>
        <v>173550</v>
      </c>
      <c r="I514" s="52">
        <f>H514/G514</f>
        <v>0.6</v>
      </c>
      <c r="J514" s="53" t="n"/>
      <c r="K514" s="54" t="n"/>
    </row>
    <row r="515">
      <c r="A515" s="39" t="inlineStr">
        <is>
          <t>Christian Dior</t>
        </is>
      </c>
      <c r="B515" s="47" t="inlineStr">
        <is>
          <t>TESTER DIOR SAUVAGE EDT 100ML C/T</t>
        </is>
      </c>
      <c r="C515" s="48" t="n">
        <v>100</v>
      </c>
      <c r="D515" s="49" t="inlineStr">
        <is>
          <t>Tester</t>
        </is>
      </c>
      <c r="E515" s="50" t="n">
        <v>68</v>
      </c>
      <c r="F515" s="51">
        <f>E515*$B$5*(1+$B$6)</f>
        <v>88400</v>
      </c>
      <c r="G515" s="51">
        <f>F515*$B$7</f>
        <v>221000</v>
      </c>
      <c r="H515" s="51">
        <f>G515-F515</f>
        <v>132600</v>
      </c>
      <c r="I515" s="52">
        <f>H515/G515</f>
        <v>0.6</v>
      </c>
      <c r="J515" s="53" t="n"/>
      <c r="K515" s="54" t="n"/>
    </row>
    <row r="516">
      <c r="A516" s="39" t="inlineStr">
        <is>
          <t>Clinique</t>
        </is>
      </c>
      <c r="B516" s="47" t="inlineStr">
        <is>
          <t>CLINIQUE HAPPY EDP 100ML FEMININO</t>
        </is>
      </c>
      <c r="C516" s="48" t="n">
        <v>100</v>
      </c>
      <c r="D516" s="49" t="inlineStr">
        <is>
          <t>Diseñador</t>
        </is>
      </c>
      <c r="E516" s="50" t="n">
        <v>40</v>
      </c>
      <c r="F516" s="51">
        <f>E516*$B$5*(1+$B$6)</f>
        <v>52000</v>
      </c>
      <c r="G516" s="51">
        <f>F516*$B$7</f>
        <v>130000</v>
      </c>
      <c r="H516" s="51">
        <f>G516-F516</f>
        <v>78000</v>
      </c>
      <c r="I516" s="52">
        <f>H516/G516</f>
        <v>0.6</v>
      </c>
      <c r="J516" s="53" t="n"/>
      <c r="K516" s="54" t="n"/>
    </row>
    <row r="517">
      <c r="A517" s="39" t="inlineStr">
        <is>
          <t>Clinique</t>
        </is>
      </c>
      <c r="B517" s="47" t="inlineStr">
        <is>
          <t>CLINIQUE HAPPY FOR MEN EDT 100ML MASC</t>
        </is>
      </c>
      <c r="C517" s="48" t="n">
        <v>100</v>
      </c>
      <c r="D517" s="49" t="inlineStr">
        <is>
          <t>Diseñador</t>
        </is>
      </c>
      <c r="E517" s="50" t="n">
        <v>34</v>
      </c>
      <c r="F517" s="51">
        <f>E517*$B$5*(1+$B$6)</f>
        <v>44200</v>
      </c>
      <c r="G517" s="51">
        <f>F517*$B$7</f>
        <v>110500</v>
      </c>
      <c r="H517" s="51">
        <f>G517-F517</f>
        <v>66300</v>
      </c>
      <c r="I517" s="52">
        <f>H517/G517</f>
        <v>0.6</v>
      </c>
      <c r="J517" s="53" t="n"/>
      <c r="K517" s="54" t="n"/>
    </row>
    <row r="518">
      <c r="A518" s="39" t="inlineStr">
        <is>
          <t>Clive Christian</t>
        </is>
      </c>
      <c r="B518" s="47" t="inlineStr">
        <is>
          <t>CLIVE CHRISTIAN PRIVATE COLLECTION WOODY LEATHER PARFUM 50ML</t>
        </is>
      </c>
      <c r="C518" s="48" t="n">
        <v>50</v>
      </c>
      <c r="D518" s="49" t="inlineStr">
        <is>
          <t>Nicho</t>
        </is>
      </c>
      <c r="E518" s="50" t="n">
        <v>400</v>
      </c>
      <c r="F518" s="51">
        <f>E518*$B$5*(1+$B$6)</f>
        <v>520000</v>
      </c>
      <c r="G518" s="51">
        <f>F518*$B$7</f>
        <v>1300000</v>
      </c>
      <c r="H518" s="51">
        <f>G518-F518</f>
        <v>780000</v>
      </c>
      <c r="I518" s="52">
        <f>H518/G518</f>
        <v>0.6</v>
      </c>
      <c r="J518" s="53" t="n"/>
      <c r="K518" s="54" t="n"/>
    </row>
    <row r="519">
      <c r="A519" s="39" t="inlineStr">
        <is>
          <t>Creed</t>
        </is>
      </c>
      <c r="B519" s="47" t="inlineStr">
        <is>
          <t>CREED AVENTUS COLOGNE 100ML MASC</t>
        </is>
      </c>
      <c r="C519" s="48" t="n">
        <v>100</v>
      </c>
      <c r="D519" s="49" t="inlineStr">
        <is>
          <t>Nicho</t>
        </is>
      </c>
      <c r="E519" s="50" t="n">
        <v>310</v>
      </c>
      <c r="F519" s="51">
        <f>E519*$B$5*(1+$B$6)</f>
        <v>403000</v>
      </c>
      <c r="G519" s="51">
        <f>F519*$B$7</f>
        <v>1007500</v>
      </c>
      <c r="H519" s="51">
        <f>G519-F519</f>
        <v>604500</v>
      </c>
      <c r="I519" s="52">
        <f>H519/G519</f>
        <v>0.6</v>
      </c>
      <c r="J519" s="53" t="n"/>
      <c r="K519" s="54" t="n"/>
    </row>
    <row r="520">
      <c r="A520" s="39" t="inlineStr">
        <is>
          <t>Creed</t>
        </is>
      </c>
      <c r="B520" s="47" t="inlineStr">
        <is>
          <t>CREED AVENTUS EDP MASCULINO 100ML</t>
        </is>
      </c>
      <c r="C520" s="48" t="n">
        <v>100</v>
      </c>
      <c r="D520" s="49" t="inlineStr">
        <is>
          <t>Nicho</t>
        </is>
      </c>
      <c r="E520" s="50" t="n">
        <v>345</v>
      </c>
      <c r="F520" s="51">
        <f>E520*$B$5*(1+$B$6)</f>
        <v>448500</v>
      </c>
      <c r="G520" s="51">
        <f>F520*$B$7</f>
        <v>1121250</v>
      </c>
      <c r="H520" s="51">
        <f>G520-F520</f>
        <v>672750</v>
      </c>
      <c r="I520" s="52">
        <f>H520/G520</f>
        <v>0.6</v>
      </c>
      <c r="J520" s="53" t="n"/>
      <c r="K520" s="54" t="n"/>
    </row>
    <row r="521">
      <c r="A521" s="39" t="inlineStr">
        <is>
          <t>Creed</t>
        </is>
      </c>
      <c r="B521" s="47" t="inlineStr">
        <is>
          <t>CREED AVENTUS FOR HER EDP 240ML (CX FEIA)</t>
        </is>
      </c>
      <c r="C521" s="48" t="n">
        <v>240</v>
      </c>
      <c r="D521" s="49" t="inlineStr">
        <is>
          <t>Nicho</t>
        </is>
      </c>
      <c r="E521" s="50" t="n">
        <v>525</v>
      </c>
      <c r="F521" s="51">
        <f>E521*$B$5*(1+$B$6)</f>
        <v>682500</v>
      </c>
      <c r="G521" s="51">
        <f>F521*$B$7</f>
        <v>1706250</v>
      </c>
      <c r="H521" s="51">
        <f>G521-F521</f>
        <v>1023750</v>
      </c>
      <c r="I521" s="52">
        <f>H521/G521</f>
        <v>0.6</v>
      </c>
      <c r="J521" s="53" t="n"/>
      <c r="K521" s="54" t="n"/>
    </row>
    <row r="522">
      <c r="A522" s="39" t="inlineStr">
        <is>
          <t>Creed</t>
        </is>
      </c>
      <c r="B522" s="47" t="inlineStr">
        <is>
          <t>CREED AVENTUS FOR HER EDP 75ML</t>
        </is>
      </c>
      <c r="C522" s="48" t="n">
        <v>75</v>
      </c>
      <c r="D522" s="49" t="inlineStr">
        <is>
          <t>Nicho</t>
        </is>
      </c>
      <c r="E522" s="50" t="n">
        <v>245</v>
      </c>
      <c r="F522" s="51">
        <f>E522*$B$5*(1+$B$6)</f>
        <v>318500</v>
      </c>
      <c r="G522" s="51">
        <f>F522*$B$7</f>
        <v>796250</v>
      </c>
      <c r="H522" s="51">
        <f>G522-F522</f>
        <v>477750</v>
      </c>
      <c r="I522" s="52">
        <f>H522/G522</f>
        <v>0.6</v>
      </c>
      <c r="J522" s="53" t="n"/>
      <c r="K522" s="54" t="n"/>
    </row>
    <row r="523">
      <c r="A523" s="39" t="inlineStr">
        <is>
          <t>Creed</t>
        </is>
      </c>
      <c r="B523" s="47" t="inlineStr">
        <is>
          <t>CREED BOIS DU PORTUGAL MASCULINO 100ML</t>
        </is>
      </c>
      <c r="C523" s="48" t="n">
        <v>100</v>
      </c>
      <c r="D523" s="49" t="inlineStr">
        <is>
          <t>Nicho</t>
        </is>
      </c>
      <c r="E523" s="50" t="n">
        <v>260</v>
      </c>
      <c r="F523" s="51">
        <f>E523*$B$5*(1+$B$6)</f>
        <v>338000</v>
      </c>
      <c r="G523" s="51">
        <f>F523*$B$7</f>
        <v>845000</v>
      </c>
      <c r="H523" s="51">
        <f>G523-F523</f>
        <v>507000</v>
      </c>
      <c r="I523" s="52">
        <f>H523/G523</f>
        <v>0.6</v>
      </c>
      <c r="J523" s="53" t="n"/>
      <c r="K523" s="54" t="n"/>
    </row>
    <row r="524">
      <c r="A524" s="39" t="inlineStr">
        <is>
          <t>Creed</t>
        </is>
      </c>
      <c r="B524" s="47" t="inlineStr">
        <is>
          <t>CREED CARMINA EDP 75ML FEM</t>
        </is>
      </c>
      <c r="C524" s="48" t="n">
        <v>75</v>
      </c>
      <c r="D524" s="49" t="inlineStr">
        <is>
          <t>Nicho</t>
        </is>
      </c>
      <c r="E524" s="50" t="n">
        <v>260</v>
      </c>
      <c r="F524" s="51">
        <f>E524*$B$5*(1+$B$6)</f>
        <v>338000</v>
      </c>
      <c r="G524" s="51">
        <f>F524*$B$7</f>
        <v>845000</v>
      </c>
      <c r="H524" s="51">
        <f>G524-F524</f>
        <v>507000</v>
      </c>
      <c r="I524" s="52">
        <f>H524/G524</f>
        <v>0.6</v>
      </c>
      <c r="J524" s="53" t="n"/>
      <c r="K524" s="54" t="n"/>
    </row>
    <row r="525">
      <c r="A525" s="39" t="inlineStr">
        <is>
          <t>Creed</t>
        </is>
      </c>
      <c r="B525" s="47" t="inlineStr">
        <is>
          <t>CREED CENTAURUS EDP 100ML</t>
        </is>
      </c>
      <c r="C525" s="48" t="n">
        <v>100</v>
      </c>
      <c r="D525" s="49" t="inlineStr">
        <is>
          <t>Nicho</t>
        </is>
      </c>
      <c r="E525" s="50" t="n">
        <v>290</v>
      </c>
      <c r="F525" s="51">
        <f>E525*$B$5*(1+$B$6)</f>
        <v>377000</v>
      </c>
      <c r="G525" s="51">
        <f>F525*$B$7</f>
        <v>942500</v>
      </c>
      <c r="H525" s="51">
        <f>G525-F525</f>
        <v>565500</v>
      </c>
      <c r="I525" s="52">
        <f>H525/G525</f>
        <v>0.6</v>
      </c>
      <c r="J525" s="53" t="n"/>
      <c r="K525" s="54" t="n"/>
    </row>
    <row r="526">
      <c r="A526" s="39" t="inlineStr">
        <is>
          <t>Creed</t>
        </is>
      </c>
      <c r="B526" s="47" t="inlineStr">
        <is>
          <t>CREED DELPHINUS EDP 100ML</t>
        </is>
      </c>
      <c r="C526" s="48" t="n">
        <v>100</v>
      </c>
      <c r="D526" s="49" t="inlineStr">
        <is>
          <t>Nicho</t>
        </is>
      </c>
      <c r="E526" s="50" t="n">
        <v>290</v>
      </c>
      <c r="F526" s="51">
        <f>E526*$B$5*(1+$B$6)</f>
        <v>377000</v>
      </c>
      <c r="G526" s="51">
        <f>F526*$B$7</f>
        <v>942500</v>
      </c>
      <c r="H526" s="51">
        <f>G526-F526</f>
        <v>565500</v>
      </c>
      <c r="I526" s="52">
        <f>H526/G526</f>
        <v>0.6</v>
      </c>
      <c r="J526" s="53" t="n"/>
      <c r="K526" s="54" t="n"/>
    </row>
    <row r="527">
      <c r="A527" s="39" t="inlineStr">
        <is>
          <t>Creed</t>
        </is>
      </c>
      <c r="B527" s="47" t="inlineStr">
        <is>
          <t>CREED ELADARIA EDP 75ML</t>
        </is>
      </c>
      <c r="C527" s="48" t="n">
        <v>75</v>
      </c>
      <c r="D527" s="49" t="inlineStr">
        <is>
          <t>Nicho</t>
        </is>
      </c>
      <c r="E527" s="50" t="n">
        <v>270</v>
      </c>
      <c r="F527" s="51">
        <f>E527*$B$5*(1+$B$6)</f>
        <v>351000</v>
      </c>
      <c r="G527" s="51">
        <f>F527*$B$7</f>
        <v>877500</v>
      </c>
      <c r="H527" s="51">
        <f>G527-F527</f>
        <v>526500</v>
      </c>
      <c r="I527" s="52">
        <f>H527/G527</f>
        <v>0.6</v>
      </c>
      <c r="J527" s="53" t="n"/>
      <c r="K527" s="54" t="n"/>
    </row>
    <row r="528">
      <c r="A528" s="39" t="inlineStr">
        <is>
          <t>Creed</t>
        </is>
      </c>
      <c r="B528" s="47" t="inlineStr">
        <is>
          <t>CREED EROLFA EDP 100ML</t>
        </is>
      </c>
      <c r="C528" s="48" t="n">
        <v>100</v>
      </c>
      <c r="D528" s="49" t="inlineStr">
        <is>
          <t>Nicho</t>
        </is>
      </c>
      <c r="E528" s="50" t="n">
        <v>290</v>
      </c>
      <c r="F528" s="51">
        <f>E528*$B$5*(1+$B$6)</f>
        <v>377000</v>
      </c>
      <c r="G528" s="51">
        <f>F528*$B$7</f>
        <v>942500</v>
      </c>
      <c r="H528" s="51">
        <f>G528-F528</f>
        <v>565500</v>
      </c>
      <c r="I528" s="52">
        <f>H528/G528</f>
        <v>0.6</v>
      </c>
      <c r="J528" s="53" t="n"/>
      <c r="K528" s="54" t="n"/>
    </row>
    <row r="529">
      <c r="A529" s="39" t="inlineStr">
        <is>
          <t>Creed</t>
        </is>
      </c>
      <c r="B529" s="47" t="inlineStr">
        <is>
          <t>CREED GREEN IRISH TWEED EDP 100ML</t>
        </is>
      </c>
      <c r="C529" s="48" t="n">
        <v>100</v>
      </c>
      <c r="D529" s="49" t="inlineStr">
        <is>
          <t>Nicho</t>
        </is>
      </c>
      <c r="E529" s="50" t="n">
        <v>250</v>
      </c>
      <c r="F529" s="51">
        <f>E529*$B$5*(1+$B$6)</f>
        <v>325000</v>
      </c>
      <c r="G529" s="51">
        <f>F529*$B$7</f>
        <v>812500</v>
      </c>
      <c r="H529" s="51">
        <f>G529-F529</f>
        <v>487500</v>
      </c>
      <c r="I529" s="52">
        <f>H529/G529</f>
        <v>0.6</v>
      </c>
      <c r="J529" s="53" t="n"/>
      <c r="K529" s="54" t="n"/>
    </row>
    <row r="530">
      <c r="A530" s="39" t="inlineStr">
        <is>
          <t>Creed</t>
        </is>
      </c>
      <c r="B530" s="47" t="inlineStr">
        <is>
          <t>CREED HIMALAYA EDP 100ML</t>
        </is>
      </c>
      <c r="C530" s="48" t="n">
        <v>100</v>
      </c>
      <c r="D530" s="49" t="inlineStr">
        <is>
          <t>Nicho</t>
        </is>
      </c>
      <c r="E530" s="50" t="n">
        <v>290</v>
      </c>
      <c r="F530" s="51">
        <f>E530*$B$5*(1+$B$6)</f>
        <v>377000</v>
      </c>
      <c r="G530" s="51">
        <f>F530*$B$7</f>
        <v>942500</v>
      </c>
      <c r="H530" s="51">
        <f>G530-F530</f>
        <v>565500</v>
      </c>
      <c r="I530" s="52">
        <f>H530/G530</f>
        <v>0.6</v>
      </c>
      <c r="J530" s="53" t="n"/>
      <c r="K530" s="54" t="n"/>
    </row>
    <row r="531">
      <c r="A531" s="39" t="inlineStr">
        <is>
          <t>Creed</t>
        </is>
      </c>
      <c r="B531" s="47" t="inlineStr">
        <is>
          <t>CREED JARDIN D'AMALFI EDP 75ML</t>
        </is>
      </c>
      <c r="C531" s="48" t="n">
        <v>75</v>
      </c>
      <c r="D531" s="49" t="inlineStr">
        <is>
          <t>Nicho</t>
        </is>
      </c>
      <c r="E531" s="50" t="n">
        <v>360</v>
      </c>
      <c r="F531" s="51">
        <f>E531*$B$5*(1+$B$6)</f>
        <v>468000</v>
      </c>
      <c r="G531" s="51">
        <f>F531*$B$7</f>
        <v>1170000</v>
      </c>
      <c r="H531" s="51">
        <f>G531-F531</f>
        <v>702000</v>
      </c>
      <c r="I531" s="52">
        <f>H531/G531</f>
        <v>0.6</v>
      </c>
      <c r="J531" s="53" t="n"/>
      <c r="K531" s="54" t="n"/>
    </row>
    <row r="532">
      <c r="A532" s="39" t="inlineStr">
        <is>
          <t>Creed</t>
        </is>
      </c>
      <c r="B532" s="47" t="inlineStr">
        <is>
          <t>CREED LOVE IN BLACK EDP 75ML</t>
        </is>
      </c>
      <c r="C532" s="48" t="n">
        <v>75</v>
      </c>
      <c r="D532" s="49" t="inlineStr">
        <is>
          <t>Nicho</t>
        </is>
      </c>
      <c r="E532" s="50" t="n">
        <v>195</v>
      </c>
      <c r="F532" s="51">
        <f>E532*$B$5*(1+$B$6)</f>
        <v>253500</v>
      </c>
      <c r="G532" s="51">
        <f>F532*$B$7</f>
        <v>633750</v>
      </c>
      <c r="H532" s="51">
        <f>G532-F532</f>
        <v>380250</v>
      </c>
      <c r="I532" s="52">
        <f>H532/G532</f>
        <v>0.6</v>
      </c>
      <c r="J532" s="53" t="n"/>
      <c r="K532" s="54" t="n"/>
    </row>
    <row r="533">
      <c r="A533" s="39" t="inlineStr">
        <is>
          <t>Creed</t>
        </is>
      </c>
      <c r="B533" s="47" t="inlineStr">
        <is>
          <t>CREED MILLESIME IMPERIAL EDP 100ML</t>
        </is>
      </c>
      <c r="C533" s="48" t="n">
        <v>100</v>
      </c>
      <c r="D533" s="49" t="inlineStr">
        <is>
          <t>Nicho</t>
        </is>
      </c>
      <c r="E533" s="50" t="n">
        <v>245</v>
      </c>
      <c r="F533" s="51">
        <f>E533*$B$5*(1+$B$6)</f>
        <v>318500</v>
      </c>
      <c r="G533" s="51">
        <f>F533*$B$7</f>
        <v>796250</v>
      </c>
      <c r="H533" s="51">
        <f>G533-F533</f>
        <v>477750</v>
      </c>
      <c r="I533" s="52">
        <f>H533/G533</f>
        <v>0.6</v>
      </c>
      <c r="J533" s="53" t="n"/>
      <c r="K533" s="54" t="n"/>
    </row>
    <row r="534">
      <c r="A534" s="39" t="inlineStr">
        <is>
          <t>Creed</t>
        </is>
      </c>
      <c r="B534" s="47" t="inlineStr">
        <is>
          <t>CREED NEROLI SAUVAGE 100ML</t>
        </is>
      </c>
      <c r="C534" s="48" t="n">
        <v>100</v>
      </c>
      <c r="D534" s="49" t="inlineStr">
        <is>
          <t>Nicho</t>
        </is>
      </c>
      <c r="E534" s="50" t="n">
        <v>240</v>
      </c>
      <c r="F534" s="51">
        <f>E534*$B$5*(1+$B$6)</f>
        <v>312000</v>
      </c>
      <c r="G534" s="51">
        <f>F534*$B$7</f>
        <v>780000</v>
      </c>
      <c r="H534" s="51">
        <f>G534-F534</f>
        <v>468000</v>
      </c>
      <c r="I534" s="52">
        <f>H534/G534</f>
        <v>0.6</v>
      </c>
      <c r="J534" s="53" t="n"/>
      <c r="K534" s="54" t="n"/>
    </row>
    <row r="535">
      <c r="A535" s="39" t="inlineStr">
        <is>
          <t>Creed</t>
        </is>
      </c>
      <c r="B535" s="47" t="inlineStr">
        <is>
          <t>CREED OUD ZARIAN EDP 100ML</t>
        </is>
      </c>
      <c r="C535" s="48" t="n">
        <v>100</v>
      </c>
      <c r="D535" s="49" t="inlineStr">
        <is>
          <t>Nicho</t>
        </is>
      </c>
      <c r="E535" s="50" t="n">
        <v>380</v>
      </c>
      <c r="F535" s="51">
        <f>E535*$B$5*(1+$B$6)</f>
        <v>494000</v>
      </c>
      <c r="G535" s="51">
        <f>F535*$B$7</f>
        <v>1235000</v>
      </c>
      <c r="H535" s="51">
        <f>G535-F535</f>
        <v>741000</v>
      </c>
      <c r="I535" s="52">
        <f>H535/G535</f>
        <v>0.6</v>
      </c>
      <c r="J535" s="53" t="n"/>
      <c r="K535" s="54" t="n"/>
    </row>
    <row r="536">
      <c r="A536" s="39" t="inlineStr">
        <is>
          <t>Creed</t>
        </is>
      </c>
      <c r="B536" s="47" t="inlineStr">
        <is>
          <t>CREED QUEEN OF SILK EDP 75ML FEM</t>
        </is>
      </c>
      <c r="C536" s="48" t="n">
        <v>75</v>
      </c>
      <c r="D536" s="49" t="inlineStr">
        <is>
          <t>Nicho</t>
        </is>
      </c>
      <c r="E536" s="50" t="n">
        <v>260</v>
      </c>
      <c r="F536" s="51">
        <f>E536*$B$5*(1+$B$6)</f>
        <v>338000</v>
      </c>
      <c r="G536" s="51">
        <f>F536*$B$7</f>
        <v>845000</v>
      </c>
      <c r="H536" s="51">
        <f>G536-F536</f>
        <v>507000</v>
      </c>
      <c r="I536" s="52">
        <f>H536/G536</f>
        <v>0.6</v>
      </c>
      <c r="J536" s="53" t="n"/>
      <c r="K536" s="54" t="n"/>
    </row>
    <row r="537">
      <c r="A537" s="39" t="inlineStr">
        <is>
          <t>Creed</t>
        </is>
      </c>
      <c r="B537" s="47" t="inlineStr">
        <is>
          <t>CREED ROYAL PRINCESS OUD EDP 75ML</t>
        </is>
      </c>
      <c r="C537" s="48" t="n">
        <v>75</v>
      </c>
      <c r="D537" s="49" t="inlineStr">
        <is>
          <t>Nicho</t>
        </is>
      </c>
      <c r="E537" s="50" t="n">
        <v>247</v>
      </c>
      <c r="F537" s="51">
        <f>E537*$B$5*(1+$B$6)</f>
        <v>321100</v>
      </c>
      <c r="G537" s="51">
        <f>F537*$B$7</f>
        <v>802750</v>
      </c>
      <c r="H537" s="51">
        <f>G537-F537</f>
        <v>481650</v>
      </c>
      <c r="I537" s="52">
        <f>H537/G537</f>
        <v>0.6</v>
      </c>
      <c r="J537" s="53" t="n"/>
      <c r="K537" s="54" t="n"/>
    </row>
    <row r="538">
      <c r="A538" s="39" t="inlineStr">
        <is>
          <t>Creed</t>
        </is>
      </c>
      <c r="B538" s="47" t="inlineStr">
        <is>
          <t>CREED ROYAL WATER EDP 100ML</t>
        </is>
      </c>
      <c r="C538" s="48" t="n">
        <v>100</v>
      </c>
      <c r="D538" s="49" t="inlineStr">
        <is>
          <t>Nicho</t>
        </is>
      </c>
      <c r="E538" s="50" t="n">
        <v>270</v>
      </c>
      <c r="F538" s="51">
        <f>E538*$B$5*(1+$B$6)</f>
        <v>351000</v>
      </c>
      <c r="G538" s="51">
        <f>F538*$B$7</f>
        <v>877500</v>
      </c>
      <c r="H538" s="51">
        <f>G538-F538</f>
        <v>526500</v>
      </c>
      <c r="I538" s="52">
        <f>H538/G538</f>
        <v>0.6</v>
      </c>
      <c r="J538" s="53" t="n"/>
      <c r="K538" s="54" t="n"/>
    </row>
    <row r="539">
      <c r="A539" s="39" t="inlineStr">
        <is>
          <t>Creed</t>
        </is>
      </c>
      <c r="B539" s="47" t="inlineStr">
        <is>
          <t>CREED SILVER MOUNTAIN WATER UNISSEX 100ML</t>
        </is>
      </c>
      <c r="C539" s="48" t="n">
        <v>100</v>
      </c>
      <c r="D539" s="49" t="inlineStr">
        <is>
          <t>Nicho</t>
        </is>
      </c>
      <c r="E539" s="50" t="n">
        <v>270</v>
      </c>
      <c r="F539" s="51">
        <f>E539*$B$5*(1+$B$6)</f>
        <v>351000</v>
      </c>
      <c r="G539" s="51">
        <f>F539*$B$7</f>
        <v>877500</v>
      </c>
      <c r="H539" s="51">
        <f>G539-F539</f>
        <v>526500</v>
      </c>
      <c r="I539" s="52">
        <f>H539/G539</f>
        <v>0.6</v>
      </c>
      <c r="J539" s="53" t="n"/>
      <c r="K539" s="54" t="n"/>
    </row>
    <row r="540">
      <c r="A540" s="39" t="inlineStr">
        <is>
          <t>Creed</t>
        </is>
      </c>
      <c r="B540" s="47" t="inlineStr">
        <is>
          <t>CREED SPRING FLOWER EDP 75ML</t>
        </is>
      </c>
      <c r="C540" s="48" t="n">
        <v>75</v>
      </c>
      <c r="D540" s="49" t="inlineStr">
        <is>
          <t>Nicho</t>
        </is>
      </c>
      <c r="E540" s="50" t="n">
        <v>220</v>
      </c>
      <c r="F540" s="51">
        <f>E540*$B$5*(1+$B$6)</f>
        <v>286000</v>
      </c>
      <c r="G540" s="51">
        <f>F540*$B$7</f>
        <v>715000</v>
      </c>
      <c r="H540" s="51">
        <f>G540-F540</f>
        <v>429000</v>
      </c>
      <c r="I540" s="52">
        <f>H540/G540</f>
        <v>0.6</v>
      </c>
      <c r="J540" s="53" t="n"/>
      <c r="K540" s="54" t="n"/>
    </row>
    <row r="541">
      <c r="A541" s="39" t="inlineStr">
        <is>
          <t>Creed</t>
        </is>
      </c>
      <c r="B541" s="47" t="inlineStr">
        <is>
          <t>CREED SUBLIME VANILLE EDP 75ML</t>
        </is>
      </c>
      <c r="C541" s="48" t="n">
        <v>75</v>
      </c>
      <c r="D541" s="49" t="inlineStr">
        <is>
          <t>Nicho</t>
        </is>
      </c>
      <c r="E541" s="50" t="n">
        <v>360</v>
      </c>
      <c r="F541" s="51">
        <f>E541*$B$5*(1+$B$6)</f>
        <v>468000</v>
      </c>
      <c r="G541" s="51">
        <f>F541*$B$7</f>
        <v>1170000</v>
      </c>
      <c r="H541" s="51">
        <f>G541-F541</f>
        <v>702000</v>
      </c>
      <c r="I541" s="52">
        <f>H541/G541</f>
        <v>0.6</v>
      </c>
      <c r="J541" s="53" t="n"/>
      <c r="K541" s="54" t="n"/>
    </row>
    <row r="542">
      <c r="A542" s="39" t="inlineStr">
        <is>
          <t>Creed</t>
        </is>
      </c>
      <c r="B542" s="47" t="inlineStr">
        <is>
          <t>CREED VIKING COLOGNE 100ML MASC (CX FEIA)</t>
        </is>
      </c>
      <c r="C542" s="48" t="n">
        <v>100</v>
      </c>
      <c r="D542" s="49" t="inlineStr">
        <is>
          <t>Nicho</t>
        </is>
      </c>
      <c r="E542" s="50" t="n">
        <v>215</v>
      </c>
      <c r="F542" s="51">
        <f>E542*$B$5*(1+$B$6)</f>
        <v>279500</v>
      </c>
      <c r="G542" s="51">
        <f>F542*$B$7</f>
        <v>698750</v>
      </c>
      <c r="H542" s="51">
        <f>G542-F542</f>
        <v>419250</v>
      </c>
      <c r="I542" s="52">
        <f>H542/G542</f>
        <v>0.6</v>
      </c>
      <c r="J542" s="53" t="n"/>
      <c r="K542" s="54" t="n"/>
    </row>
    <row r="543">
      <c r="A543" s="39" t="inlineStr">
        <is>
          <t>Creed</t>
        </is>
      </c>
      <c r="B543" s="47" t="inlineStr">
        <is>
          <t>CREED VIRGIN ISLAND WATER 100ML</t>
        </is>
      </c>
      <c r="C543" s="48" t="n">
        <v>100</v>
      </c>
      <c r="D543" s="49" t="inlineStr">
        <is>
          <t>Nicho</t>
        </is>
      </c>
      <c r="E543" s="50" t="n">
        <v>270</v>
      </c>
      <c r="F543" s="51">
        <f>E543*$B$5*(1+$B$6)</f>
        <v>351000</v>
      </c>
      <c r="G543" s="51">
        <f>F543*$B$7</f>
        <v>877500</v>
      </c>
      <c r="H543" s="51">
        <f>G543-F543</f>
        <v>526500</v>
      </c>
      <c r="I543" s="52">
        <f>H543/G543</f>
        <v>0.6</v>
      </c>
      <c r="J543" s="53" t="n"/>
      <c r="K543" s="54" t="n"/>
    </row>
    <row r="544">
      <c r="A544" s="39" t="inlineStr">
        <is>
          <t>Creed</t>
        </is>
      </c>
      <c r="B544" s="47" t="inlineStr">
        <is>
          <t>CREED WHITE AMBER EDP 75ML</t>
        </is>
      </c>
      <c r="C544" s="48" t="n">
        <v>75</v>
      </c>
      <c r="D544" s="49" t="inlineStr">
        <is>
          <t>Nicho</t>
        </is>
      </c>
      <c r="E544" s="50" t="n">
        <v>360</v>
      </c>
      <c r="F544" s="51">
        <f>E544*$B$5*(1+$B$6)</f>
        <v>468000</v>
      </c>
      <c r="G544" s="51">
        <f>F544*$B$7</f>
        <v>1170000</v>
      </c>
      <c r="H544" s="51">
        <f>G544-F544</f>
        <v>702000</v>
      </c>
      <c r="I544" s="52">
        <f>H544/G544</f>
        <v>0.6</v>
      </c>
      <c r="J544" s="53" t="n"/>
      <c r="K544" s="54" t="n"/>
    </row>
    <row r="545">
      <c r="A545" s="39" t="inlineStr">
        <is>
          <t>Creed</t>
        </is>
      </c>
      <c r="B545" s="47" t="inlineStr">
        <is>
          <t>CREED ZESTE DE MANDARINE EDP 100ML</t>
        </is>
      </c>
      <c r="C545" s="48" t="n">
        <v>100</v>
      </c>
      <c r="D545" s="49" t="inlineStr">
        <is>
          <t>Nicho</t>
        </is>
      </c>
      <c r="E545" s="50" t="n">
        <v>225</v>
      </c>
      <c r="F545" s="51">
        <f>E545*$B$5*(1+$B$6)</f>
        <v>292500</v>
      </c>
      <c r="G545" s="51">
        <f>F545*$B$7</f>
        <v>731250</v>
      </c>
      <c r="H545" s="51">
        <f>G545-F545</f>
        <v>438750</v>
      </c>
      <c r="I545" s="52">
        <f>H545/G545</f>
        <v>0.6</v>
      </c>
      <c r="J545" s="53" t="n"/>
      <c r="K545" s="54" t="n"/>
    </row>
    <row r="546">
      <c r="A546" s="39" t="inlineStr">
        <is>
          <t>Creed</t>
        </is>
      </c>
      <c r="B546" s="47" t="inlineStr">
        <is>
          <t>TESTER CREED ABSOLU AVENTUS EDP 100ML</t>
        </is>
      </c>
      <c r="C546" s="48" t="n">
        <v>100</v>
      </c>
      <c r="D546" s="49" t="inlineStr">
        <is>
          <t>Tester</t>
        </is>
      </c>
      <c r="E546" s="50" t="n">
        <v>365</v>
      </c>
      <c r="F546" s="51">
        <f>E546*$B$5*(1+$B$6)</f>
        <v>474500</v>
      </c>
      <c r="G546" s="51">
        <f>F546*$B$7</f>
        <v>1186250</v>
      </c>
      <c r="H546" s="51">
        <f>G546-F546</f>
        <v>711750</v>
      </c>
      <c r="I546" s="52">
        <f>H546/G546</f>
        <v>0.6</v>
      </c>
      <c r="J546" s="53" t="n"/>
      <c r="K546" s="54" t="n"/>
    </row>
    <row r="547">
      <c r="A547" s="39" t="inlineStr">
        <is>
          <t>Creed</t>
        </is>
      </c>
      <c r="B547" s="47" t="inlineStr">
        <is>
          <t>TESTER CREED AVENTUS COLOGNE 100ML MASC</t>
        </is>
      </c>
      <c r="C547" s="48" t="n">
        <v>100</v>
      </c>
      <c r="D547" s="49" t="inlineStr">
        <is>
          <t>Tester</t>
        </is>
      </c>
      <c r="E547" s="50" t="n">
        <v>280</v>
      </c>
      <c r="F547" s="51">
        <f>E547*$B$5*(1+$B$6)</f>
        <v>364000</v>
      </c>
      <c r="G547" s="51">
        <f>F547*$B$7</f>
        <v>910000</v>
      </c>
      <c r="H547" s="51">
        <f>G547-F547</f>
        <v>546000</v>
      </c>
      <c r="I547" s="52">
        <f>H547/G547</f>
        <v>0.6</v>
      </c>
      <c r="J547" s="53" t="n"/>
      <c r="K547" s="54" t="n"/>
    </row>
    <row r="548">
      <c r="A548" s="39" t="inlineStr">
        <is>
          <t>Creed</t>
        </is>
      </c>
      <c r="B548" s="47" t="inlineStr">
        <is>
          <t>TESTER CREED AVENTUS EDP 100ML</t>
        </is>
      </c>
      <c r="C548" s="48" t="n">
        <v>100</v>
      </c>
      <c r="D548" s="49" t="inlineStr">
        <is>
          <t>Tester</t>
        </is>
      </c>
      <c r="E548" s="50" t="n">
        <v>295</v>
      </c>
      <c r="F548" s="51">
        <f>E548*$B$5*(1+$B$6)</f>
        <v>383500</v>
      </c>
      <c r="G548" s="51">
        <f>F548*$B$7</f>
        <v>958750</v>
      </c>
      <c r="H548" s="51">
        <f>G548-F548</f>
        <v>575250</v>
      </c>
      <c r="I548" s="52">
        <f>H548/G548</f>
        <v>0.6</v>
      </c>
      <c r="J548" s="53" t="n"/>
      <c r="K548" s="54" t="n"/>
    </row>
    <row r="549">
      <c r="A549" s="39" t="inlineStr">
        <is>
          <t>Creed</t>
        </is>
      </c>
      <c r="B549" s="47" t="inlineStr">
        <is>
          <t>TESTER CREED CARMINA EDP 75ML FEM</t>
        </is>
      </c>
      <c r="C549" s="48" t="n">
        <v>75</v>
      </c>
      <c r="D549" s="49" t="inlineStr">
        <is>
          <t>Tester</t>
        </is>
      </c>
      <c r="E549" s="50" t="n">
        <v>240</v>
      </c>
      <c r="F549" s="51">
        <f>E549*$B$5*(1+$B$6)</f>
        <v>312000</v>
      </c>
      <c r="G549" s="51">
        <f>F549*$B$7</f>
        <v>780000</v>
      </c>
      <c r="H549" s="51">
        <f>G549-F549</f>
        <v>468000</v>
      </c>
      <c r="I549" s="52">
        <f>H549/G549</f>
        <v>0.6</v>
      </c>
      <c r="J549" s="53" t="n"/>
      <c r="K549" s="54" t="n"/>
    </row>
    <row r="550">
      <c r="A550" s="39" t="inlineStr">
        <is>
          <t>Creed</t>
        </is>
      </c>
      <c r="B550" s="47" t="inlineStr">
        <is>
          <t>TESTER CREED ELADARIA EDP 75ML</t>
        </is>
      </c>
      <c r="C550" s="48" t="n">
        <v>75</v>
      </c>
      <c r="D550" s="49" t="inlineStr">
        <is>
          <t>Tester</t>
        </is>
      </c>
      <c r="E550" s="50" t="n">
        <v>240</v>
      </c>
      <c r="F550" s="51">
        <f>E550*$B$5*(1+$B$6)</f>
        <v>312000</v>
      </c>
      <c r="G550" s="51">
        <f>F550*$B$7</f>
        <v>780000</v>
      </c>
      <c r="H550" s="51">
        <f>G550-F550</f>
        <v>468000</v>
      </c>
      <c r="I550" s="52">
        <f>H550/G550</f>
        <v>0.6</v>
      </c>
      <c r="J550" s="53" t="n"/>
      <c r="K550" s="54" t="n"/>
    </row>
    <row r="551">
      <c r="A551" s="39" t="inlineStr">
        <is>
          <t>Creed</t>
        </is>
      </c>
      <c r="B551" s="47" t="inlineStr">
        <is>
          <t>TESTER CREED EROLFA EDP 100ML</t>
        </is>
      </c>
      <c r="C551" s="48" t="n">
        <v>100</v>
      </c>
      <c r="D551" s="49" t="inlineStr">
        <is>
          <t>Tester</t>
        </is>
      </c>
      <c r="E551" s="50" t="n">
        <v>220</v>
      </c>
      <c r="F551" s="51">
        <f>E551*$B$5*(1+$B$6)</f>
        <v>286000</v>
      </c>
      <c r="G551" s="51">
        <f>F551*$B$7</f>
        <v>715000</v>
      </c>
      <c r="H551" s="51">
        <f>G551-F551</f>
        <v>429000</v>
      </c>
      <c r="I551" s="52">
        <f>H551/G551</f>
        <v>0.6</v>
      </c>
      <c r="J551" s="53" t="n"/>
      <c r="K551" s="54" t="n"/>
    </row>
    <row r="552">
      <c r="A552" s="39" t="inlineStr">
        <is>
          <t>Creed</t>
        </is>
      </c>
      <c r="B552" s="47" t="inlineStr">
        <is>
          <t>TESTER CREED GREEN IRISH TWEED EDP 100ML</t>
        </is>
      </c>
      <c r="C552" s="48" t="n">
        <v>100</v>
      </c>
      <c r="D552" s="49" t="inlineStr">
        <is>
          <t>Tester</t>
        </is>
      </c>
      <c r="E552" s="50" t="n">
        <v>220</v>
      </c>
      <c r="F552" s="51">
        <f>E552*$B$5*(1+$B$6)</f>
        <v>286000</v>
      </c>
      <c r="G552" s="51">
        <f>F552*$B$7</f>
        <v>715000</v>
      </c>
      <c r="H552" s="51">
        <f>G552-F552</f>
        <v>429000</v>
      </c>
      <c r="I552" s="52">
        <f>H552/G552</f>
        <v>0.6</v>
      </c>
      <c r="J552" s="53" t="n"/>
      <c r="K552" s="54" t="n"/>
    </row>
    <row r="553">
      <c r="A553" s="39" t="inlineStr">
        <is>
          <t>Creed</t>
        </is>
      </c>
      <c r="B553" s="47" t="inlineStr">
        <is>
          <t>TESTER CREED HIMALAYA EDP 100ML</t>
        </is>
      </c>
      <c r="C553" s="48" t="n">
        <v>100</v>
      </c>
      <c r="D553" s="49" t="inlineStr">
        <is>
          <t>Tester</t>
        </is>
      </c>
      <c r="E553" s="50" t="n">
        <v>240</v>
      </c>
      <c r="F553" s="51">
        <f>E553*$B$5*(1+$B$6)</f>
        <v>312000</v>
      </c>
      <c r="G553" s="51">
        <f>F553*$B$7</f>
        <v>780000</v>
      </c>
      <c r="H553" s="51">
        <f>G553-F553</f>
        <v>468000</v>
      </c>
      <c r="I553" s="52">
        <f>H553/G553</f>
        <v>0.6</v>
      </c>
      <c r="J553" s="53" t="n"/>
      <c r="K553" s="54" t="n"/>
    </row>
    <row r="554">
      <c r="A554" s="39" t="inlineStr">
        <is>
          <t>Creed</t>
        </is>
      </c>
      <c r="B554" s="47" t="inlineStr">
        <is>
          <t>TESTER CREED JARDIN D'AMALFI EDP 75ML</t>
        </is>
      </c>
      <c r="C554" s="48" t="n">
        <v>75</v>
      </c>
      <c r="D554" s="49" t="inlineStr">
        <is>
          <t>Tester</t>
        </is>
      </c>
      <c r="E554" s="50" t="n">
        <v>300</v>
      </c>
      <c r="F554" s="51">
        <f>E554*$B$5*(1+$B$6)</f>
        <v>390000</v>
      </c>
      <c r="G554" s="51">
        <f>F554*$B$7</f>
        <v>975000</v>
      </c>
      <c r="H554" s="51">
        <f>G554-F554</f>
        <v>585000</v>
      </c>
      <c r="I554" s="52">
        <f>H554/G554</f>
        <v>0.6</v>
      </c>
      <c r="J554" s="53" t="n"/>
      <c r="K554" s="54" t="n"/>
    </row>
    <row r="555">
      <c r="A555" s="39" t="inlineStr">
        <is>
          <t>Creed</t>
        </is>
      </c>
      <c r="B555" s="47" t="inlineStr">
        <is>
          <t>TESTER CREED MILLESIME IMPERIAL EDP 100ML</t>
        </is>
      </c>
      <c r="C555" s="48" t="n">
        <v>100</v>
      </c>
      <c r="D555" s="49" t="inlineStr">
        <is>
          <t>Tester</t>
        </is>
      </c>
      <c r="E555" s="50" t="n">
        <v>220</v>
      </c>
      <c r="F555" s="51">
        <f>E555*$B$5*(1+$B$6)</f>
        <v>286000</v>
      </c>
      <c r="G555" s="51">
        <f>F555*$B$7</f>
        <v>715000</v>
      </c>
      <c r="H555" s="51">
        <f>G555-F555</f>
        <v>429000</v>
      </c>
      <c r="I555" s="52">
        <f>H555/G555</f>
        <v>0.6</v>
      </c>
      <c r="J555" s="53" t="n"/>
      <c r="K555" s="54" t="n"/>
    </row>
    <row r="556">
      <c r="A556" s="39" t="inlineStr">
        <is>
          <t>Creed</t>
        </is>
      </c>
      <c r="B556" s="47" t="inlineStr">
        <is>
          <t>TESTER CREED PURE WHITE COLOGNE EDP 75ML</t>
        </is>
      </c>
      <c r="C556" s="48" t="n">
        <v>75</v>
      </c>
      <c r="D556" s="49" t="inlineStr">
        <is>
          <t>Tester</t>
        </is>
      </c>
      <c r="E556" s="50" t="n">
        <v>260</v>
      </c>
      <c r="F556" s="51">
        <f>E556*$B$5*(1+$B$6)</f>
        <v>338000</v>
      </c>
      <c r="G556" s="51">
        <f>F556*$B$7</f>
        <v>845000</v>
      </c>
      <c r="H556" s="51">
        <f>G556-F556</f>
        <v>507000</v>
      </c>
      <c r="I556" s="52">
        <f>H556/G556</f>
        <v>0.6</v>
      </c>
      <c r="J556" s="53" t="n"/>
      <c r="K556" s="54" t="n"/>
    </row>
    <row r="557">
      <c r="A557" s="39" t="inlineStr">
        <is>
          <t>Creed</t>
        </is>
      </c>
      <c r="B557" s="47" t="inlineStr">
        <is>
          <t>TESTER CREED QUEEN OF SILK EDP 75ML FEM</t>
        </is>
      </c>
      <c r="C557" s="48" t="n">
        <v>75</v>
      </c>
      <c r="D557" s="49" t="inlineStr">
        <is>
          <t>Tester</t>
        </is>
      </c>
      <c r="E557" s="50" t="n">
        <v>240</v>
      </c>
      <c r="F557" s="51">
        <f>E557*$B$5*(1+$B$6)</f>
        <v>312000</v>
      </c>
      <c r="G557" s="51">
        <f>F557*$B$7</f>
        <v>780000</v>
      </c>
      <c r="H557" s="51">
        <f>G557-F557</f>
        <v>468000</v>
      </c>
      <c r="I557" s="52">
        <f>H557/G557</f>
        <v>0.6</v>
      </c>
      <c r="J557" s="53" t="n"/>
      <c r="K557" s="54" t="n"/>
    </row>
    <row r="558">
      <c r="A558" s="39" t="inlineStr">
        <is>
          <t>Creed</t>
        </is>
      </c>
      <c r="B558" s="47" t="inlineStr">
        <is>
          <t>TESTER CREED SILVER MOUNTAIN WATER 100ML</t>
        </is>
      </c>
      <c r="C558" s="48" t="n">
        <v>100</v>
      </c>
      <c r="D558" s="49" t="inlineStr">
        <is>
          <t>Tester</t>
        </is>
      </c>
      <c r="E558" s="50" t="n">
        <v>240</v>
      </c>
      <c r="F558" s="51">
        <f>E558*$B$5*(1+$B$6)</f>
        <v>312000</v>
      </c>
      <c r="G558" s="51">
        <f>F558*$B$7</f>
        <v>780000</v>
      </c>
      <c r="H558" s="51">
        <f>G558-F558</f>
        <v>468000</v>
      </c>
      <c r="I558" s="52">
        <f>H558/G558</f>
        <v>0.6</v>
      </c>
      <c r="J558" s="53" t="n"/>
      <c r="K558" s="54" t="n"/>
    </row>
    <row r="559">
      <c r="A559" s="39" t="inlineStr">
        <is>
          <t>Creed</t>
        </is>
      </c>
      <c r="B559" s="47" t="inlineStr">
        <is>
          <t>TESTER CREED WIND FLOWERS EDP 75ML</t>
        </is>
      </c>
      <c r="C559" s="48" t="n">
        <v>75</v>
      </c>
      <c r="D559" s="49" t="inlineStr">
        <is>
          <t>Tester</t>
        </is>
      </c>
      <c r="E559" s="50" t="n">
        <v>210</v>
      </c>
      <c r="F559" s="51">
        <f>E559*$B$5*(1+$B$6)</f>
        <v>273000</v>
      </c>
      <c r="G559" s="51">
        <f>F559*$B$7</f>
        <v>682500</v>
      </c>
      <c r="H559" s="51">
        <f>G559-F559</f>
        <v>409500</v>
      </c>
      <c r="I559" s="52">
        <f>H559/G559</f>
        <v>0.6</v>
      </c>
      <c r="J559" s="53" t="n"/>
      <c r="K559" s="54" t="n"/>
    </row>
    <row r="560">
      <c r="A560" s="39" t="inlineStr">
        <is>
          <t>D'Hermosa</t>
        </is>
      </c>
      <c r="B560" s="47" t="inlineStr">
        <is>
          <t>D.HERMOSA N. 1013 30ML</t>
        </is>
      </c>
      <c r="C560" s="48" t="n">
        <v>30</v>
      </c>
      <c r="D560" s="49" t="inlineStr">
        <is>
          <t>Árabe</t>
        </is>
      </c>
      <c r="E560" s="50" t="n">
        <v>2.75</v>
      </c>
      <c r="F560" s="51">
        <f>E560*$B$5*(1+$B$6)</f>
        <v>3575</v>
      </c>
      <c r="G560" s="51">
        <f>F560*$B$7</f>
        <v>8937.5</v>
      </c>
      <c r="H560" s="51">
        <f>G560-F560</f>
        <v>5362.5</v>
      </c>
      <c r="I560" s="52">
        <f>H560/G560</f>
        <v>0.6</v>
      </c>
      <c r="J560" s="53" t="n"/>
      <c r="K560" s="54" t="inlineStr">
        <is>
          <t>clon/genérico</t>
        </is>
      </c>
    </row>
    <row r="561">
      <c r="A561" s="39" t="inlineStr">
        <is>
          <t>D'Hermosa</t>
        </is>
      </c>
      <c r="B561" s="47" t="inlineStr">
        <is>
          <t>D.HERMOSA N. 1016 30ML</t>
        </is>
      </c>
      <c r="C561" s="48" t="n">
        <v>30</v>
      </c>
      <c r="D561" s="49" t="inlineStr">
        <is>
          <t>Árabe</t>
        </is>
      </c>
      <c r="E561" s="50" t="n">
        <v>2.75</v>
      </c>
      <c r="F561" s="51">
        <f>E561*$B$5*(1+$B$6)</f>
        <v>3575</v>
      </c>
      <c r="G561" s="51">
        <f>F561*$B$7</f>
        <v>8937.5</v>
      </c>
      <c r="H561" s="51">
        <f>G561-F561</f>
        <v>5362.5</v>
      </c>
      <c r="I561" s="52">
        <f>H561/G561</f>
        <v>0.6</v>
      </c>
      <c r="J561" s="53" t="n"/>
      <c r="K561" s="54" t="inlineStr">
        <is>
          <t>clon/genérico</t>
        </is>
      </c>
    </row>
    <row r="562">
      <c r="A562" s="39" t="inlineStr">
        <is>
          <t>D'Hermosa</t>
        </is>
      </c>
      <c r="B562" s="47" t="inlineStr">
        <is>
          <t>D.HERMOSA N. 1017 30ML</t>
        </is>
      </c>
      <c r="C562" s="48" t="n">
        <v>30</v>
      </c>
      <c r="D562" s="49" t="inlineStr">
        <is>
          <t>Árabe</t>
        </is>
      </c>
      <c r="E562" s="50" t="n">
        <v>2.75</v>
      </c>
      <c r="F562" s="51">
        <f>E562*$B$5*(1+$B$6)</f>
        <v>3575</v>
      </c>
      <c r="G562" s="51">
        <f>F562*$B$7</f>
        <v>8937.5</v>
      </c>
      <c r="H562" s="51">
        <f>G562-F562</f>
        <v>5362.5</v>
      </c>
      <c r="I562" s="52">
        <f>H562/G562</f>
        <v>0.6</v>
      </c>
      <c r="J562" s="53" t="n"/>
      <c r="K562" s="54" t="inlineStr">
        <is>
          <t>clon/genérico</t>
        </is>
      </c>
    </row>
    <row r="563">
      <c r="A563" s="39" t="inlineStr">
        <is>
          <t>D'Hermosa</t>
        </is>
      </c>
      <c r="B563" s="47" t="inlineStr">
        <is>
          <t>D.HERMOSA N. 1018 30ML</t>
        </is>
      </c>
      <c r="C563" s="48" t="n">
        <v>30</v>
      </c>
      <c r="D563" s="49" t="inlineStr">
        <is>
          <t>Árabe</t>
        </is>
      </c>
      <c r="E563" s="50" t="n">
        <v>2.75</v>
      </c>
      <c r="F563" s="51">
        <f>E563*$B$5*(1+$B$6)</f>
        <v>3575</v>
      </c>
      <c r="G563" s="51">
        <f>F563*$B$7</f>
        <v>8937.5</v>
      </c>
      <c r="H563" s="51">
        <f>G563-F563</f>
        <v>5362.5</v>
      </c>
      <c r="I563" s="52">
        <f>H563/G563</f>
        <v>0.6</v>
      </c>
      <c r="J563" s="53" t="n"/>
      <c r="K563" s="54" t="inlineStr">
        <is>
          <t>clon/genérico</t>
        </is>
      </c>
    </row>
    <row r="564">
      <c r="A564" s="39" t="inlineStr">
        <is>
          <t>D'Hermosa</t>
        </is>
      </c>
      <c r="B564" s="47" t="inlineStr">
        <is>
          <t>D.HERMOSA N. 1019 30ML</t>
        </is>
      </c>
      <c r="C564" s="48" t="n">
        <v>30</v>
      </c>
      <c r="D564" s="49" t="inlineStr">
        <is>
          <t>Árabe</t>
        </is>
      </c>
      <c r="E564" s="50" t="n">
        <v>2.75</v>
      </c>
      <c r="F564" s="51">
        <f>E564*$B$5*(1+$B$6)</f>
        <v>3575</v>
      </c>
      <c r="G564" s="51">
        <f>F564*$B$7</f>
        <v>8937.5</v>
      </c>
      <c r="H564" s="51">
        <f>G564-F564</f>
        <v>5362.5</v>
      </c>
      <c r="I564" s="52">
        <f>H564/G564</f>
        <v>0.6</v>
      </c>
      <c r="J564" s="53" t="n"/>
      <c r="K564" s="54" t="inlineStr">
        <is>
          <t>clon/genérico</t>
        </is>
      </c>
    </row>
    <row r="565">
      <c r="A565" s="39" t="inlineStr">
        <is>
          <t>D'Hermosa</t>
        </is>
      </c>
      <c r="B565" s="47" t="inlineStr">
        <is>
          <t>D.HERMOSA N. 1020 30ML</t>
        </is>
      </c>
      <c r="C565" s="48" t="n">
        <v>30</v>
      </c>
      <c r="D565" s="49" t="inlineStr">
        <is>
          <t>Árabe</t>
        </is>
      </c>
      <c r="E565" s="50" t="n">
        <v>2.75</v>
      </c>
      <c r="F565" s="51">
        <f>E565*$B$5*(1+$B$6)</f>
        <v>3575</v>
      </c>
      <c r="G565" s="51">
        <f>F565*$B$7</f>
        <v>8937.5</v>
      </c>
      <c r="H565" s="51">
        <f>G565-F565</f>
        <v>5362.5</v>
      </c>
      <c r="I565" s="52">
        <f>H565/G565</f>
        <v>0.6</v>
      </c>
      <c r="J565" s="53" t="n"/>
      <c r="K565" s="54" t="inlineStr">
        <is>
          <t>clon/genérico</t>
        </is>
      </c>
    </row>
    <row r="566">
      <c r="A566" s="39" t="inlineStr">
        <is>
          <t>D'Hermosa</t>
        </is>
      </c>
      <c r="B566" s="47" t="inlineStr">
        <is>
          <t>D.HERMOSA N. 1021 30ML</t>
        </is>
      </c>
      <c r="C566" s="48" t="n">
        <v>30</v>
      </c>
      <c r="D566" s="49" t="inlineStr">
        <is>
          <t>Árabe</t>
        </is>
      </c>
      <c r="E566" s="50" t="n">
        <v>2.75</v>
      </c>
      <c r="F566" s="51">
        <f>E566*$B$5*(1+$B$6)</f>
        <v>3575</v>
      </c>
      <c r="G566" s="51">
        <f>F566*$B$7</f>
        <v>8937.5</v>
      </c>
      <c r="H566" s="51">
        <f>G566-F566</f>
        <v>5362.5</v>
      </c>
      <c r="I566" s="52">
        <f>H566/G566</f>
        <v>0.6</v>
      </c>
      <c r="J566" s="53" t="n"/>
      <c r="K566" s="54" t="inlineStr">
        <is>
          <t>clon/genérico</t>
        </is>
      </c>
    </row>
    <row r="567">
      <c r="A567" s="39" t="inlineStr">
        <is>
          <t>D'Hermosa</t>
        </is>
      </c>
      <c r="B567" s="47" t="inlineStr">
        <is>
          <t>D.HERMOSA N. 1023 30ML</t>
        </is>
      </c>
      <c r="C567" s="48" t="n">
        <v>30</v>
      </c>
      <c r="D567" s="49" t="inlineStr">
        <is>
          <t>Árabe</t>
        </is>
      </c>
      <c r="E567" s="50" t="n">
        <v>2.75</v>
      </c>
      <c r="F567" s="51">
        <f>E567*$B$5*(1+$B$6)</f>
        <v>3575</v>
      </c>
      <c r="G567" s="51">
        <f>F567*$B$7</f>
        <v>8937.5</v>
      </c>
      <c r="H567" s="51">
        <f>G567-F567</f>
        <v>5362.5</v>
      </c>
      <c r="I567" s="52">
        <f>H567/G567</f>
        <v>0.6</v>
      </c>
      <c r="J567" s="53" t="n"/>
      <c r="K567" s="54" t="inlineStr">
        <is>
          <t>clon/genérico</t>
        </is>
      </c>
    </row>
    <row r="568">
      <c r="A568" s="39" t="inlineStr">
        <is>
          <t>D'Hermosa</t>
        </is>
      </c>
      <c r="B568" s="47" t="inlineStr">
        <is>
          <t>D.HERMOSA N. 1026 30ML</t>
        </is>
      </c>
      <c r="C568" s="48" t="n">
        <v>30</v>
      </c>
      <c r="D568" s="49" t="inlineStr">
        <is>
          <t>Árabe</t>
        </is>
      </c>
      <c r="E568" s="50" t="n">
        <v>2.75</v>
      </c>
      <c r="F568" s="51">
        <f>E568*$B$5*(1+$B$6)</f>
        <v>3575</v>
      </c>
      <c r="G568" s="51">
        <f>F568*$B$7</f>
        <v>8937.5</v>
      </c>
      <c r="H568" s="51">
        <f>G568-F568</f>
        <v>5362.5</v>
      </c>
      <c r="I568" s="52">
        <f>H568/G568</f>
        <v>0.6</v>
      </c>
      <c r="J568" s="53" t="n"/>
      <c r="K568" s="54" t="inlineStr">
        <is>
          <t>clon/genérico</t>
        </is>
      </c>
    </row>
    <row r="569">
      <c r="A569" s="39" t="inlineStr">
        <is>
          <t>D'Hermosa</t>
        </is>
      </c>
      <c r="B569" s="47" t="inlineStr">
        <is>
          <t>D.HERMOSA N. 1027 30ML</t>
        </is>
      </c>
      <c r="C569" s="48" t="n">
        <v>30</v>
      </c>
      <c r="D569" s="49" t="inlineStr">
        <is>
          <t>Árabe</t>
        </is>
      </c>
      <c r="E569" s="50" t="n">
        <v>2.75</v>
      </c>
      <c r="F569" s="51">
        <f>E569*$B$5*(1+$B$6)</f>
        <v>3575</v>
      </c>
      <c r="G569" s="51">
        <f>F569*$B$7</f>
        <v>8937.5</v>
      </c>
      <c r="H569" s="51">
        <f>G569-F569</f>
        <v>5362.5</v>
      </c>
      <c r="I569" s="52">
        <f>H569/G569</f>
        <v>0.6</v>
      </c>
      <c r="J569" s="53" t="n"/>
      <c r="K569" s="54" t="inlineStr">
        <is>
          <t>clon/genérico</t>
        </is>
      </c>
    </row>
    <row r="570">
      <c r="A570" s="39" t="inlineStr">
        <is>
          <t>D'Hermosa</t>
        </is>
      </c>
      <c r="B570" s="47" t="inlineStr">
        <is>
          <t>D.HERMOSA N. 2002 30ML</t>
        </is>
      </c>
      <c r="C570" s="48" t="n">
        <v>30</v>
      </c>
      <c r="D570" s="49" t="inlineStr">
        <is>
          <t>Árabe</t>
        </is>
      </c>
      <c r="E570" s="50" t="n">
        <v>2.75</v>
      </c>
      <c r="F570" s="51">
        <f>E570*$B$5*(1+$B$6)</f>
        <v>3575</v>
      </c>
      <c r="G570" s="51">
        <f>F570*$B$7</f>
        <v>8937.5</v>
      </c>
      <c r="H570" s="51">
        <f>G570-F570</f>
        <v>5362.5</v>
      </c>
      <c r="I570" s="52">
        <f>H570/G570</f>
        <v>0.6</v>
      </c>
      <c r="J570" s="53" t="n"/>
      <c r="K570" s="54" t="inlineStr">
        <is>
          <t>clon/genérico</t>
        </is>
      </c>
    </row>
    <row r="571">
      <c r="A571" s="39" t="inlineStr">
        <is>
          <t>D'Hermosa</t>
        </is>
      </c>
      <c r="B571" s="47" t="inlineStr">
        <is>
          <t>D.HERMOSA N. 2003 30ML</t>
        </is>
      </c>
      <c r="C571" s="48" t="n">
        <v>30</v>
      </c>
      <c r="D571" s="49" t="inlineStr">
        <is>
          <t>Árabe</t>
        </is>
      </c>
      <c r="E571" s="50" t="n">
        <v>2.75</v>
      </c>
      <c r="F571" s="51">
        <f>E571*$B$5*(1+$B$6)</f>
        <v>3575</v>
      </c>
      <c r="G571" s="51">
        <f>F571*$B$7</f>
        <v>8937.5</v>
      </c>
      <c r="H571" s="51">
        <f>G571-F571</f>
        <v>5362.5</v>
      </c>
      <c r="I571" s="52">
        <f>H571/G571</f>
        <v>0.6</v>
      </c>
      <c r="J571" s="53" t="n"/>
      <c r="K571" s="54" t="inlineStr">
        <is>
          <t>clon/genérico</t>
        </is>
      </c>
    </row>
    <row r="572">
      <c r="A572" s="39" t="inlineStr">
        <is>
          <t>D'Hermosa</t>
        </is>
      </c>
      <c r="B572" s="47" t="inlineStr">
        <is>
          <t>D.HERMOSA N. 2007 30ML</t>
        </is>
      </c>
      <c r="C572" s="48" t="n">
        <v>30</v>
      </c>
      <c r="D572" s="49" t="inlineStr">
        <is>
          <t>Árabe</t>
        </is>
      </c>
      <c r="E572" s="50" t="n">
        <v>2.75</v>
      </c>
      <c r="F572" s="51">
        <f>E572*$B$5*(1+$B$6)</f>
        <v>3575</v>
      </c>
      <c r="G572" s="51">
        <f>F572*$B$7</f>
        <v>8937.5</v>
      </c>
      <c r="H572" s="51">
        <f>G572-F572</f>
        <v>5362.5</v>
      </c>
      <c r="I572" s="52">
        <f>H572/G572</f>
        <v>0.6</v>
      </c>
      <c r="J572" s="53" t="n"/>
      <c r="K572" s="54" t="inlineStr">
        <is>
          <t>clon/genérico</t>
        </is>
      </c>
    </row>
    <row r="573">
      <c r="A573" s="39" t="inlineStr">
        <is>
          <t>D'Hermosa</t>
        </is>
      </c>
      <c r="B573" s="47" t="inlineStr">
        <is>
          <t>D.HERMOSA N. 2008 30ML</t>
        </is>
      </c>
      <c r="C573" s="48" t="n">
        <v>30</v>
      </c>
      <c r="D573" s="49" t="inlineStr">
        <is>
          <t>Árabe</t>
        </is>
      </c>
      <c r="E573" s="50" t="n">
        <v>2.75</v>
      </c>
      <c r="F573" s="51">
        <f>E573*$B$5*(1+$B$6)</f>
        <v>3575</v>
      </c>
      <c r="G573" s="51">
        <f>F573*$B$7</f>
        <v>8937.5</v>
      </c>
      <c r="H573" s="51">
        <f>G573-F573</f>
        <v>5362.5</v>
      </c>
      <c r="I573" s="52">
        <f>H573/G573</f>
        <v>0.6</v>
      </c>
      <c r="J573" s="53" t="n"/>
      <c r="K573" s="54" t="inlineStr">
        <is>
          <t>clon/genérico</t>
        </is>
      </c>
    </row>
    <row r="574">
      <c r="A574" s="39" t="inlineStr">
        <is>
          <t>D'Hermosa</t>
        </is>
      </c>
      <c r="B574" s="47" t="inlineStr">
        <is>
          <t>D.HERMOSA N. 2009 30ML</t>
        </is>
      </c>
      <c r="C574" s="48" t="n">
        <v>30</v>
      </c>
      <c r="D574" s="49" t="inlineStr">
        <is>
          <t>Árabe</t>
        </is>
      </c>
      <c r="E574" s="50" t="n">
        <v>2.75</v>
      </c>
      <c r="F574" s="51">
        <f>E574*$B$5*(1+$B$6)</f>
        <v>3575</v>
      </c>
      <c r="G574" s="51">
        <f>F574*$B$7</f>
        <v>8937.5</v>
      </c>
      <c r="H574" s="51">
        <f>G574-F574</f>
        <v>5362.5</v>
      </c>
      <c r="I574" s="52">
        <f>H574/G574</f>
        <v>0.6</v>
      </c>
      <c r="J574" s="53" t="n"/>
      <c r="K574" s="54" t="inlineStr">
        <is>
          <t>clon/genérico</t>
        </is>
      </c>
    </row>
    <row r="575">
      <c r="A575" s="39" t="inlineStr">
        <is>
          <t>D'Hermosa</t>
        </is>
      </c>
      <c r="B575" s="47" t="inlineStr">
        <is>
          <t>D.HERMOSA N. 2010 30ML</t>
        </is>
      </c>
      <c r="C575" s="48" t="n">
        <v>30</v>
      </c>
      <c r="D575" s="49" t="inlineStr">
        <is>
          <t>Árabe</t>
        </is>
      </c>
      <c r="E575" s="50" t="n">
        <v>2.75</v>
      </c>
      <c r="F575" s="51">
        <f>E575*$B$5*(1+$B$6)</f>
        <v>3575</v>
      </c>
      <c r="G575" s="51">
        <f>F575*$B$7</f>
        <v>8937.5</v>
      </c>
      <c r="H575" s="51">
        <f>G575-F575</f>
        <v>5362.5</v>
      </c>
      <c r="I575" s="52">
        <f>H575/G575</f>
        <v>0.6</v>
      </c>
      <c r="J575" s="53" t="n"/>
      <c r="K575" s="54" t="inlineStr">
        <is>
          <t>clon/genérico</t>
        </is>
      </c>
    </row>
    <row r="576">
      <c r="A576" s="39" t="inlineStr">
        <is>
          <t>Davidoff</t>
        </is>
      </c>
      <c r="B576" s="47" t="inlineStr">
        <is>
          <t>DAVIDOFF COOL WATER WOMAN EDT 100ML FEM</t>
        </is>
      </c>
      <c r="C576" s="48" t="n">
        <v>100</v>
      </c>
      <c r="D576" s="49" t="inlineStr">
        <is>
          <t>Diseñador</t>
        </is>
      </c>
      <c r="E576" s="50" t="n">
        <v>22</v>
      </c>
      <c r="F576" s="51">
        <f>E576*$B$5*(1+$B$6)</f>
        <v>28600</v>
      </c>
      <c r="G576" s="51">
        <f>F576*$B$7</f>
        <v>71500</v>
      </c>
      <c r="H576" s="51">
        <f>G576-F576</f>
        <v>42900</v>
      </c>
      <c r="I576" s="52">
        <f>H576/G576</f>
        <v>0.6</v>
      </c>
      <c r="J576" s="53" t="n"/>
      <c r="K576" s="54" t="n"/>
    </row>
    <row r="577">
      <c r="A577" s="39" t="inlineStr">
        <is>
          <t>Diesel</t>
        </is>
      </c>
      <c r="B577" s="47" t="inlineStr">
        <is>
          <t>DIESEL LOVERDOSE EDP 75ML FEM</t>
        </is>
      </c>
      <c r="C577" s="48" t="n">
        <v>75</v>
      </c>
      <c r="D577" s="49" t="inlineStr">
        <is>
          <t>Diseñador</t>
        </is>
      </c>
      <c r="E577" s="50" t="n">
        <v>39</v>
      </c>
      <c r="F577" s="51">
        <f>E577*$B$5*(1+$B$6)</f>
        <v>50700</v>
      </c>
      <c r="G577" s="51">
        <f>F577*$B$7</f>
        <v>126750</v>
      </c>
      <c r="H577" s="51">
        <f>G577-F577</f>
        <v>76050</v>
      </c>
      <c r="I577" s="52">
        <f>H577/G577</f>
        <v>0.6</v>
      </c>
      <c r="J577" s="53" t="n"/>
      <c r="K577" s="54" t="n"/>
    </row>
    <row r="578">
      <c r="A578" s="39" t="inlineStr">
        <is>
          <t>Diesel</t>
        </is>
      </c>
      <c r="B578" s="47" t="inlineStr">
        <is>
          <t>DIESEL ONLY THE BRAVE STREET EDT 125ML</t>
        </is>
      </c>
      <c r="C578" s="48" t="n">
        <v>125</v>
      </c>
      <c r="D578" s="49" t="inlineStr">
        <is>
          <t>Diseñador</t>
        </is>
      </c>
      <c r="E578" s="50" t="n">
        <v>42</v>
      </c>
      <c r="F578" s="51">
        <f>E578*$B$5*(1+$B$6)</f>
        <v>54600</v>
      </c>
      <c r="G578" s="51">
        <f>F578*$B$7</f>
        <v>136500</v>
      </c>
      <c r="H578" s="51">
        <f>G578-F578</f>
        <v>81900</v>
      </c>
      <c r="I578" s="52">
        <f>H578/G578</f>
        <v>0.6</v>
      </c>
      <c r="J578" s="53" t="n"/>
      <c r="K578" s="54" t="n"/>
    </row>
    <row r="579">
      <c r="A579" s="39" t="inlineStr">
        <is>
          <t>Diptyque</t>
        </is>
      </c>
      <c r="B579" s="47" t="inlineStr">
        <is>
          <t>DIPTYQUE DO SON EDP 75ML</t>
        </is>
      </c>
      <c r="C579" s="48" t="n">
        <v>75</v>
      </c>
      <c r="D579" s="49" t="inlineStr">
        <is>
          <t>Nicho</t>
        </is>
      </c>
      <c r="E579" s="50" t="n">
        <v>230</v>
      </c>
      <c r="F579" s="51">
        <f>E579*$B$5*(1+$B$6)</f>
        <v>299000</v>
      </c>
      <c r="G579" s="51">
        <f>F579*$B$7</f>
        <v>747500</v>
      </c>
      <c r="H579" s="51">
        <f>G579-F579</f>
        <v>448500</v>
      </c>
      <c r="I579" s="52">
        <f>H579/G579</f>
        <v>0.6</v>
      </c>
      <c r="J579" s="53" t="n"/>
      <c r="K579" s="54" t="n"/>
    </row>
    <row r="580">
      <c r="A580" s="39" t="inlineStr">
        <is>
          <t>Diptyque</t>
        </is>
      </c>
      <c r="B580" s="47" t="inlineStr">
        <is>
          <t>DIPTYQUE L'EAU DE NEROLI EDT 100ML</t>
        </is>
      </c>
      <c r="C580" s="48" t="n">
        <v>100</v>
      </c>
      <c r="D580" s="49" t="inlineStr">
        <is>
          <t>Nicho</t>
        </is>
      </c>
      <c r="E580" s="50" t="n">
        <v>215</v>
      </c>
      <c r="F580" s="51">
        <f>E580*$B$5*(1+$B$6)</f>
        <v>279500</v>
      </c>
      <c r="G580" s="51">
        <f>F580*$B$7</f>
        <v>698750</v>
      </c>
      <c r="H580" s="51">
        <f>G580-F580</f>
        <v>419250</v>
      </c>
      <c r="I580" s="52">
        <f>H580/G580</f>
        <v>0.6</v>
      </c>
      <c r="J580" s="53" t="n"/>
      <c r="K580" s="54" t="n"/>
    </row>
    <row r="581">
      <c r="A581" s="39" t="inlineStr">
        <is>
          <t>Dolce &amp; Gabbana</t>
        </is>
      </c>
      <c r="B581" s="47" t="inlineStr">
        <is>
          <t>Devotion EDP (fem) — TESTER</t>
        </is>
      </c>
      <c r="C581" s="48" t="n">
        <v>100</v>
      </c>
      <c r="D581" s="49" t="inlineStr">
        <is>
          <t>Tester</t>
        </is>
      </c>
      <c r="E581" s="50" t="n">
        <v>50</v>
      </c>
      <c r="F581" s="51">
        <f>E581*$B$5*(1+$B$6)</f>
        <v>65000</v>
      </c>
      <c r="G581" s="51">
        <f>F581*$B$7</f>
        <v>162500</v>
      </c>
      <c r="H581" s="51">
        <f>G581-F581</f>
        <v>97500</v>
      </c>
      <c r="I581" s="52">
        <f>H581/G581</f>
        <v>0.6</v>
      </c>
      <c r="J581" s="53" t="n"/>
      <c r="K581" s="54" t="inlineStr">
        <is>
          <t>Tester</t>
        </is>
      </c>
    </row>
    <row r="582">
      <c r="A582" s="39" t="inlineStr">
        <is>
          <t>Dolce &amp; Gabbana</t>
        </is>
      </c>
      <c r="B582" s="47" t="inlineStr">
        <is>
          <t>Devotion EDP (masc) — TESTER</t>
        </is>
      </c>
      <c r="C582" s="48" t="n">
        <v>100</v>
      </c>
      <c r="D582" s="49" t="inlineStr">
        <is>
          <t>Tester</t>
        </is>
      </c>
      <c r="E582" s="50" t="n">
        <v>58</v>
      </c>
      <c r="F582" s="51">
        <f>E582*$B$5*(1+$B$6)</f>
        <v>75400</v>
      </c>
      <c r="G582" s="51">
        <f>F582*$B$7</f>
        <v>188500</v>
      </c>
      <c r="H582" s="51">
        <f>G582-F582</f>
        <v>113100</v>
      </c>
      <c r="I582" s="52">
        <f>H582/G582</f>
        <v>0.6</v>
      </c>
      <c r="J582" s="53" t="n"/>
      <c r="K582" s="54" t="inlineStr">
        <is>
          <t>Tester: sin caja de lujo, vender aparte</t>
        </is>
      </c>
    </row>
    <row r="583">
      <c r="A583" s="39" t="inlineStr">
        <is>
          <t>Dolce &amp; Gabbana</t>
        </is>
      </c>
      <c r="B583" s="47" t="inlineStr">
        <is>
          <t>DOLCE&amp;GABBANA DEVOTION EDP 100ML FEM</t>
        </is>
      </c>
      <c r="C583" s="48" t="n">
        <v>100</v>
      </c>
      <c r="D583" s="49" t="inlineStr">
        <is>
          <t>Diseñador</t>
        </is>
      </c>
      <c r="E583" s="50" t="n">
        <v>53</v>
      </c>
      <c r="F583" s="51">
        <f>E583*$B$5*(1+$B$6)</f>
        <v>68900</v>
      </c>
      <c r="G583" s="51">
        <f>F583*$B$7</f>
        <v>172250</v>
      </c>
      <c r="H583" s="51">
        <f>G583-F583</f>
        <v>103350</v>
      </c>
      <c r="I583" s="52">
        <f>H583/G583</f>
        <v>0.6</v>
      </c>
      <c r="J583" s="53" t="n"/>
      <c r="K583" s="54" t="n"/>
    </row>
    <row r="584">
      <c r="A584" s="39" t="inlineStr">
        <is>
          <t>Dolce &amp; Gabbana</t>
        </is>
      </c>
      <c r="B584" s="47" t="inlineStr">
        <is>
          <t>DOLCE&amp;GABBANA DEVOTION INTENSE EDP 100ML FEM</t>
        </is>
      </c>
      <c r="C584" s="48" t="n">
        <v>100</v>
      </c>
      <c r="D584" s="49" t="inlineStr">
        <is>
          <t>Diseñador</t>
        </is>
      </c>
      <c r="E584" s="50" t="n">
        <v>57</v>
      </c>
      <c r="F584" s="51">
        <f>E584*$B$5*(1+$B$6)</f>
        <v>74100</v>
      </c>
      <c r="G584" s="51">
        <f>F584*$B$7</f>
        <v>185250</v>
      </c>
      <c r="H584" s="51">
        <f>G584-F584</f>
        <v>111150</v>
      </c>
      <c r="I584" s="52">
        <f>H584/G584</f>
        <v>0.6</v>
      </c>
      <c r="J584" s="53" t="n"/>
      <c r="K584" s="54" t="n"/>
    </row>
    <row r="585">
      <c r="A585" s="39" t="inlineStr">
        <is>
          <t>Dolce &amp; Gabbana</t>
        </is>
      </c>
      <c r="B585" s="47" t="inlineStr">
        <is>
          <t>DOLCE&amp;GABBANA DEVOTION POUR HOMME EDP 100ML MASC</t>
        </is>
      </c>
      <c r="C585" s="48" t="n">
        <v>100</v>
      </c>
      <c r="D585" s="49" t="inlineStr">
        <is>
          <t>Diseñador</t>
        </is>
      </c>
      <c r="E585" s="50" t="n">
        <v>52</v>
      </c>
      <c r="F585" s="51">
        <f>E585*$B$5*(1+$B$6)</f>
        <v>67600</v>
      </c>
      <c r="G585" s="51">
        <f>F585*$B$7</f>
        <v>169000</v>
      </c>
      <c r="H585" s="51">
        <f>G585-F585</f>
        <v>101400</v>
      </c>
      <c r="I585" s="52">
        <f>H585/G585</f>
        <v>0.6</v>
      </c>
      <c r="J585" s="53" t="n"/>
      <c r="K585" s="54" t="n"/>
    </row>
    <row r="586">
      <c r="A586" s="39" t="inlineStr">
        <is>
          <t>Dolce &amp; Gabbana</t>
        </is>
      </c>
      <c r="B586" s="47" t="inlineStr">
        <is>
          <t>DOLCE&amp;GABBANA INTENSO POUR HOMME EDP 200ML MASC</t>
        </is>
      </c>
      <c r="C586" s="48" t="n">
        <v>200</v>
      </c>
      <c r="D586" s="49" t="inlineStr">
        <is>
          <t>Diseñador</t>
        </is>
      </c>
      <c r="E586" s="50" t="n">
        <v>64</v>
      </c>
      <c r="F586" s="51">
        <f>E586*$B$5*(1+$B$6)</f>
        <v>83200</v>
      </c>
      <c r="G586" s="51">
        <f>F586*$B$7</f>
        <v>208000</v>
      </c>
      <c r="H586" s="51">
        <f>G586-F586</f>
        <v>124800</v>
      </c>
      <c r="I586" s="52">
        <f>H586/G586</f>
        <v>0.6</v>
      </c>
      <c r="J586" s="53" t="n"/>
      <c r="K586" s="54" t="n"/>
    </row>
    <row r="587">
      <c r="A587" s="39" t="inlineStr">
        <is>
          <t>Dolce &amp; Gabbana</t>
        </is>
      </c>
      <c r="B587" s="47" t="inlineStr">
        <is>
          <t>DOLCE&amp;GABBANA KING EDP (AZUL MARINHO) 100ML</t>
        </is>
      </c>
      <c r="C587" s="48" t="n">
        <v>100</v>
      </c>
      <c r="D587" s="49" t="inlineStr">
        <is>
          <t>Diseñador</t>
        </is>
      </c>
      <c r="E587" s="50" t="n">
        <v>63</v>
      </c>
      <c r="F587" s="51">
        <f>E587*$B$5*(1+$B$6)</f>
        <v>81900</v>
      </c>
      <c r="G587" s="51">
        <f>F587*$B$7</f>
        <v>204750</v>
      </c>
      <c r="H587" s="51">
        <f>G587-F587</f>
        <v>122850</v>
      </c>
      <c r="I587" s="52">
        <f>H587/G587</f>
        <v>0.6</v>
      </c>
      <c r="J587" s="53" t="n"/>
      <c r="K587" s="54" t="n"/>
    </row>
    <row r="588">
      <c r="A588" s="39" t="inlineStr">
        <is>
          <t>Dolce &amp; Gabbana</t>
        </is>
      </c>
      <c r="B588" s="47" t="inlineStr">
        <is>
          <t>DOLCE&amp;GABBANA KING EDP INTENSE (SILVER) 100ML MASC (187911)</t>
        </is>
      </c>
      <c r="C588" s="48" t="n">
        <v>100</v>
      </c>
      <c r="D588" s="49" t="inlineStr">
        <is>
          <t>Diseñador</t>
        </is>
      </c>
      <c r="E588" s="50" t="n">
        <v>57.5</v>
      </c>
      <c r="F588" s="51">
        <f>E588*$B$5*(1+$B$6)</f>
        <v>74750</v>
      </c>
      <c r="G588" s="51">
        <f>F588*$B$7</f>
        <v>186875</v>
      </c>
      <c r="H588" s="51">
        <f>G588-F588</f>
        <v>112125</v>
      </c>
      <c r="I588" s="52">
        <f>H588/G588</f>
        <v>0.6</v>
      </c>
      <c r="J588" s="53" t="n"/>
      <c r="K588" s="54" t="n"/>
    </row>
    <row r="589">
      <c r="A589" s="39" t="inlineStr">
        <is>
          <t>Dolce &amp; Gabbana</t>
        </is>
      </c>
      <c r="B589" s="47" t="inlineStr">
        <is>
          <t>DOLCE&amp;GABBANA KING PARFUM (PRETO) 100ML MASC</t>
        </is>
      </c>
      <c r="C589" s="48" t="n">
        <v>100</v>
      </c>
      <c r="D589" s="49" t="inlineStr">
        <is>
          <t>Diseñador</t>
        </is>
      </c>
      <c r="E589" s="50" t="n">
        <v>70</v>
      </c>
      <c r="F589" s="51">
        <f>E589*$B$5*(1+$B$6)</f>
        <v>91000</v>
      </c>
      <c r="G589" s="51">
        <f>F589*$B$7</f>
        <v>227500</v>
      </c>
      <c r="H589" s="51">
        <f>G589-F589</f>
        <v>136500</v>
      </c>
      <c r="I589" s="52">
        <f>H589/G589</f>
        <v>0.6</v>
      </c>
      <c r="J589" s="53" t="n"/>
      <c r="K589" s="54" t="n"/>
    </row>
    <row r="590">
      <c r="A590" s="39" t="inlineStr">
        <is>
          <t>Dolce &amp; Gabbana</t>
        </is>
      </c>
      <c r="B590" s="47" t="inlineStr">
        <is>
          <t>DOLCE&amp;GABBANA KIT THE ONE EDP 75ML 3PCS</t>
        </is>
      </c>
      <c r="C590" s="48" t="n">
        <v>75</v>
      </c>
      <c r="D590" s="49" t="inlineStr">
        <is>
          <t>Diseñador</t>
        </is>
      </c>
      <c r="E590" s="50" t="n">
        <v>70</v>
      </c>
      <c r="F590" s="51">
        <f>E590*$B$5*(1+$B$6)</f>
        <v>91000</v>
      </c>
      <c r="G590" s="51">
        <f>F590*$B$7</f>
        <v>227500</v>
      </c>
      <c r="H590" s="51">
        <f>G590-F590</f>
        <v>136500</v>
      </c>
      <c r="I590" s="52">
        <f>H590/G590</f>
        <v>0.6</v>
      </c>
      <c r="J590" s="53" t="n"/>
      <c r="K590" s="54" t="n"/>
    </row>
    <row r="591">
      <c r="A591" s="39" t="inlineStr">
        <is>
          <t>Dolce &amp; Gabbana</t>
        </is>
      </c>
      <c r="B591" s="47" t="inlineStr">
        <is>
          <t>DOLCE&amp;GABBANA LIGHT BLUE CAPRI IN LOVE EDP 100ML FEM</t>
        </is>
      </c>
      <c r="C591" s="48" t="n">
        <v>100</v>
      </c>
      <c r="D591" s="49" t="inlineStr">
        <is>
          <t>Diseñador</t>
        </is>
      </c>
      <c r="E591" s="50" t="n">
        <v>70</v>
      </c>
      <c r="F591" s="51">
        <f>E591*$B$5*(1+$B$6)</f>
        <v>91000</v>
      </c>
      <c r="G591" s="51">
        <f>F591*$B$7</f>
        <v>227500</v>
      </c>
      <c r="H591" s="51">
        <f>G591-F591</f>
        <v>136500</v>
      </c>
      <c r="I591" s="52">
        <f>H591/G591</f>
        <v>0.6</v>
      </c>
      <c r="J591" s="53" t="n"/>
      <c r="K591" s="54" t="n"/>
    </row>
    <row r="592">
      <c r="A592" s="39" t="inlineStr">
        <is>
          <t>Dolce &amp; Gabbana</t>
        </is>
      </c>
      <c r="B592" s="47" t="inlineStr">
        <is>
          <t>DOLCE&amp;GABBANA LIGHT BLUE CAPRI IN LOVE POUR HOMME 100ML EDP</t>
        </is>
      </c>
      <c r="C592" s="48" t="n">
        <v>100</v>
      </c>
      <c r="D592" s="49" t="inlineStr">
        <is>
          <t>Diseñador</t>
        </is>
      </c>
      <c r="E592" s="50" t="n">
        <v>62</v>
      </c>
      <c r="F592" s="51">
        <f>E592*$B$5*(1+$B$6)</f>
        <v>80600</v>
      </c>
      <c r="G592" s="51">
        <f>F592*$B$7</f>
        <v>201500</v>
      </c>
      <c r="H592" s="51">
        <f>G592-F592</f>
        <v>120900</v>
      </c>
      <c r="I592" s="52">
        <f>H592/G592</f>
        <v>0.6</v>
      </c>
      <c r="J592" s="53" t="n"/>
      <c r="K592" s="54" t="n"/>
    </row>
    <row r="593">
      <c r="A593" s="39" t="inlineStr">
        <is>
          <t>Dolce &amp; Gabbana</t>
        </is>
      </c>
      <c r="B593" s="47" t="inlineStr">
        <is>
          <t>DOLCE&amp;GABBANA LIGHT BLUE EDP 100ML FEM (GOLD)</t>
        </is>
      </c>
      <c r="C593" s="48" t="n">
        <v>100</v>
      </c>
      <c r="D593" s="49" t="inlineStr">
        <is>
          <t>Diseñador</t>
        </is>
      </c>
      <c r="E593" s="50" t="n">
        <v>95</v>
      </c>
      <c r="F593" s="51">
        <f>E593*$B$5*(1+$B$6)</f>
        <v>123500</v>
      </c>
      <c r="G593" s="51">
        <f>F593*$B$7</f>
        <v>308750</v>
      </c>
      <c r="H593" s="51">
        <f>G593-F593</f>
        <v>185250</v>
      </c>
      <c r="I593" s="52">
        <f>H593/G593</f>
        <v>0.6</v>
      </c>
      <c r="J593" s="53" t="n"/>
      <c r="K593" s="54" t="n"/>
    </row>
    <row r="594">
      <c r="A594" s="39" t="inlineStr">
        <is>
          <t>Dolce &amp; Gabbana</t>
        </is>
      </c>
      <c r="B594" s="47" t="inlineStr">
        <is>
          <t>DOLCE&amp;GABBANA LIGHT BLUE EDP 100ML MASC(GOLD)</t>
        </is>
      </c>
      <c r="C594" s="48" t="n">
        <v>100</v>
      </c>
      <c r="D594" s="49" t="inlineStr">
        <is>
          <t>Diseñador</t>
        </is>
      </c>
      <c r="E594" s="50" t="n">
        <v>87</v>
      </c>
      <c r="F594" s="51">
        <f>E594*$B$5*(1+$B$6)</f>
        <v>113100</v>
      </c>
      <c r="G594" s="51">
        <f>F594*$B$7</f>
        <v>282750</v>
      </c>
      <c r="H594" s="51">
        <f>G594-F594</f>
        <v>169650</v>
      </c>
      <c r="I594" s="52">
        <f>H594/G594</f>
        <v>0.6</v>
      </c>
      <c r="J594" s="53" t="n"/>
      <c r="K594" s="54" t="n"/>
    </row>
    <row r="595">
      <c r="A595" s="39" t="inlineStr">
        <is>
          <t>Dolce &amp; Gabbana</t>
        </is>
      </c>
      <c r="B595" s="47" t="inlineStr">
        <is>
          <t>DOLCE&amp;GABBANA LIGHT BLUE EDP 50ML FEM (GOLD)</t>
        </is>
      </c>
      <c r="C595" s="48" t="n">
        <v>50</v>
      </c>
      <c r="D595" s="49" t="inlineStr">
        <is>
          <t>Diseñador</t>
        </is>
      </c>
      <c r="E595" s="50" t="n">
        <v>78</v>
      </c>
      <c r="F595" s="51">
        <f>E595*$B$5*(1+$B$6)</f>
        <v>101400</v>
      </c>
      <c r="G595" s="51">
        <f>F595*$B$7</f>
        <v>253500</v>
      </c>
      <c r="H595" s="51">
        <f>G595-F595</f>
        <v>152100</v>
      </c>
      <c r="I595" s="52">
        <f>H595/G595</f>
        <v>0.6</v>
      </c>
      <c r="J595" s="53" t="n"/>
      <c r="K595" s="54" t="n"/>
    </row>
    <row r="596">
      <c r="A596" s="39" t="inlineStr">
        <is>
          <t>Dolce &amp; Gabbana</t>
        </is>
      </c>
      <c r="B596" s="47" t="inlineStr">
        <is>
          <t>DOLCE&amp;GABBANA LIGHT BLUE EDP 50ML MASC(GOLD)</t>
        </is>
      </c>
      <c r="C596" s="48" t="n">
        <v>50</v>
      </c>
      <c r="D596" s="49" t="inlineStr">
        <is>
          <t>Diseñador</t>
        </is>
      </c>
      <c r="E596" s="50" t="n">
        <v>75.5</v>
      </c>
      <c r="F596" s="51">
        <f>E596*$B$5*(1+$B$6)</f>
        <v>98150</v>
      </c>
      <c r="G596" s="51">
        <f>F596*$B$7</f>
        <v>245375</v>
      </c>
      <c r="H596" s="51">
        <f>G596-F596</f>
        <v>147225</v>
      </c>
      <c r="I596" s="52">
        <f>H596/G596</f>
        <v>0.6</v>
      </c>
      <c r="J596" s="53" t="n"/>
      <c r="K596" s="54" t="n"/>
    </row>
    <row r="597">
      <c r="A597" s="39" t="inlineStr">
        <is>
          <t>Dolce &amp; Gabbana</t>
        </is>
      </c>
      <c r="B597" s="47" t="inlineStr">
        <is>
          <t>DOLCE&amp;GABBANA LIGHT BLUE EDT 100ML FEM</t>
        </is>
      </c>
      <c r="C597" s="48" t="n">
        <v>100</v>
      </c>
      <c r="D597" s="49" t="inlineStr">
        <is>
          <t>Diseñador</t>
        </is>
      </c>
      <c r="E597" s="50" t="n">
        <v>51.9</v>
      </c>
      <c r="F597" s="51">
        <f>E597*$B$5*(1+$B$6)</f>
        <v>67470</v>
      </c>
      <c r="G597" s="51">
        <f>F597*$B$7</f>
        <v>168675</v>
      </c>
      <c r="H597" s="51">
        <f>G597-F597</f>
        <v>101205</v>
      </c>
      <c r="I597" s="52">
        <f>H597/G597</f>
        <v>0.6</v>
      </c>
      <c r="J597" s="53" t="n"/>
      <c r="K597" s="54" t="n"/>
    </row>
    <row r="598">
      <c r="A598" s="39" t="inlineStr">
        <is>
          <t>Dolce &amp; Gabbana</t>
        </is>
      </c>
      <c r="B598" s="47" t="inlineStr">
        <is>
          <t>DOLCE&amp;GABBANA LIGHT BLUE EDT 200ML FEM</t>
        </is>
      </c>
      <c r="C598" s="48" t="n">
        <v>200</v>
      </c>
      <c r="D598" s="49" t="inlineStr">
        <is>
          <t>Diseñador</t>
        </is>
      </c>
      <c r="E598" s="50" t="n">
        <v>74</v>
      </c>
      <c r="F598" s="51">
        <f>E598*$B$5*(1+$B$6)</f>
        <v>96200</v>
      </c>
      <c r="G598" s="51">
        <f>F598*$B$7</f>
        <v>240500</v>
      </c>
      <c r="H598" s="51">
        <f>G598-F598</f>
        <v>144300</v>
      </c>
      <c r="I598" s="52">
        <f>H598/G598</f>
        <v>0.6</v>
      </c>
      <c r="J598" s="53" t="n"/>
      <c r="K598" s="54" t="n"/>
    </row>
    <row r="599">
      <c r="A599" s="39" t="inlineStr">
        <is>
          <t>Dolce &amp; Gabbana</t>
        </is>
      </c>
      <c r="B599" s="47" t="inlineStr">
        <is>
          <t>DOLCE&amp;GABBANA LIGHT BLUE MEN EDT 200ML MASC</t>
        </is>
      </c>
      <c r="C599" s="48" t="n">
        <v>200</v>
      </c>
      <c r="D599" s="49" t="inlineStr">
        <is>
          <t>Diseñador</t>
        </is>
      </c>
      <c r="E599" s="50" t="n">
        <v>66</v>
      </c>
      <c r="F599" s="51">
        <f>E599*$B$5*(1+$B$6)</f>
        <v>85800</v>
      </c>
      <c r="G599" s="51">
        <f>F599*$B$7</f>
        <v>214500</v>
      </c>
      <c r="H599" s="51">
        <f>G599-F599</f>
        <v>128700</v>
      </c>
      <c r="I599" s="52">
        <f>H599/G599</f>
        <v>0.6</v>
      </c>
      <c r="J599" s="53" t="n"/>
      <c r="K599" s="54" t="n"/>
    </row>
    <row r="600">
      <c r="A600" s="39" t="inlineStr">
        <is>
          <t>Dolce &amp; Gabbana</t>
        </is>
      </c>
      <c r="B600" s="47" t="inlineStr">
        <is>
          <t>DOLCE&amp;GABBANA LIGHT BLUE POUR HOMME EDT 100ML MASC</t>
        </is>
      </c>
      <c r="C600" s="48" t="n">
        <v>100</v>
      </c>
      <c r="D600" s="49" t="inlineStr">
        <is>
          <t>Diseñador</t>
        </is>
      </c>
      <c r="E600" s="50" t="n">
        <v>46</v>
      </c>
      <c r="F600" s="51">
        <f>E600*$B$5*(1+$B$6)</f>
        <v>59800</v>
      </c>
      <c r="G600" s="51">
        <f>F600*$B$7</f>
        <v>149500</v>
      </c>
      <c r="H600" s="51">
        <f>G600-F600</f>
        <v>89700</v>
      </c>
      <c r="I600" s="52">
        <f>H600/G600</f>
        <v>0.6</v>
      </c>
      <c r="J600" s="53" t="n"/>
      <c r="K600" s="54" t="n"/>
    </row>
    <row r="601">
      <c r="A601" s="39" t="inlineStr">
        <is>
          <t>Dolce &amp; Gabbana</t>
        </is>
      </c>
      <c r="B601" s="47" t="inlineStr">
        <is>
          <t>DOLCE&amp;GABBANA LIGHT BLUE POUR HOMME EDT 125ML MASC</t>
        </is>
      </c>
      <c r="C601" s="48" t="n">
        <v>125</v>
      </c>
      <c r="D601" s="49" t="inlineStr">
        <is>
          <t>Diseñador</t>
        </is>
      </c>
      <c r="E601" s="50" t="n">
        <v>46</v>
      </c>
      <c r="F601" s="51">
        <f>E601*$B$5*(1+$B$6)</f>
        <v>59800</v>
      </c>
      <c r="G601" s="51">
        <f>F601*$B$7</f>
        <v>149500</v>
      </c>
      <c r="H601" s="51">
        <f>G601-F601</f>
        <v>89700</v>
      </c>
      <c r="I601" s="52">
        <f>H601/G601</f>
        <v>0.6</v>
      </c>
      <c r="J601" s="53" t="n"/>
      <c r="K601" s="54" t="n"/>
    </row>
    <row r="602">
      <c r="A602" s="39" t="inlineStr">
        <is>
          <t>Dolce &amp; Gabbana</t>
        </is>
      </c>
      <c r="B602" s="47" t="inlineStr">
        <is>
          <t>DOLCE&amp;GABBANA LIGHT BLUE SUMMER VIBES EDT 100ML</t>
        </is>
      </c>
      <c r="C602" s="48" t="n">
        <v>100</v>
      </c>
      <c r="D602" s="49" t="inlineStr">
        <is>
          <t>Diseñador</t>
        </is>
      </c>
      <c r="E602" s="50" t="n">
        <v>54</v>
      </c>
      <c r="F602" s="51">
        <f>E602*$B$5*(1+$B$6)</f>
        <v>70200</v>
      </c>
      <c r="G602" s="51">
        <f>F602*$B$7</f>
        <v>175500</v>
      </c>
      <c r="H602" s="51">
        <f>G602-F602</f>
        <v>105300</v>
      </c>
      <c r="I602" s="52">
        <f>H602/G602</f>
        <v>0.6</v>
      </c>
      <c r="J602" s="53" t="n"/>
      <c r="K602" s="54" t="n"/>
    </row>
    <row r="603">
      <c r="A603" s="39" t="inlineStr">
        <is>
          <t>Dolce &amp; Gabbana</t>
        </is>
      </c>
      <c r="B603" s="47" t="inlineStr">
        <is>
          <t>DOLCE&amp;GABBANA LIGHT BLUE SUMMER VIBES EDT 125ML</t>
        </is>
      </c>
      <c r="C603" s="48" t="n">
        <v>125</v>
      </c>
      <c r="D603" s="49" t="inlineStr">
        <is>
          <t>Diseñador</t>
        </is>
      </c>
      <c r="E603" s="50" t="n">
        <v>54</v>
      </c>
      <c r="F603" s="51">
        <f>E603*$B$5*(1+$B$6)</f>
        <v>70200</v>
      </c>
      <c r="G603" s="51">
        <f>F603*$B$7</f>
        <v>175500</v>
      </c>
      <c r="H603" s="51">
        <f>G603-F603</f>
        <v>105300</v>
      </c>
      <c r="I603" s="52">
        <f>H603/G603</f>
        <v>0.6</v>
      </c>
      <c r="J603" s="53" t="n"/>
      <c r="K603" s="54" t="n"/>
    </row>
    <row r="604">
      <c r="A604" s="39" t="inlineStr">
        <is>
          <t>Dolce &amp; Gabbana</t>
        </is>
      </c>
      <c r="B604" s="47" t="inlineStr">
        <is>
          <t>DOLCE&amp;GABBANA POUR FEMME (ROJO) EDT 100ML</t>
        </is>
      </c>
      <c r="C604" s="48" t="n">
        <v>100</v>
      </c>
      <c r="D604" s="49" t="inlineStr">
        <is>
          <t>Diseñador</t>
        </is>
      </c>
      <c r="E604" s="50" t="n">
        <v>51.5</v>
      </c>
      <c r="F604" s="51">
        <f>E604*$B$5*(1+$B$6)</f>
        <v>66950</v>
      </c>
      <c r="G604" s="51">
        <f>F604*$B$7</f>
        <v>167375</v>
      </c>
      <c r="H604" s="51">
        <f>G604-F604</f>
        <v>100425</v>
      </c>
      <c r="I604" s="52">
        <f>H604/G604</f>
        <v>0.6</v>
      </c>
      <c r="J604" s="53" t="n"/>
      <c r="K604" s="54" t="n"/>
    </row>
    <row r="605">
      <c r="A605" s="39" t="inlineStr">
        <is>
          <t>Dolce &amp; Gabbana</t>
        </is>
      </c>
      <c r="B605" s="47" t="inlineStr">
        <is>
          <t>DOLCE&amp;GABBANA POUR HOMME EDT 125ML MASC</t>
        </is>
      </c>
      <c r="C605" s="48" t="n">
        <v>125</v>
      </c>
      <c r="D605" s="49" t="inlineStr">
        <is>
          <t>Diseñador</t>
        </is>
      </c>
      <c r="E605" s="50" t="n">
        <v>48.5</v>
      </c>
      <c r="F605" s="51">
        <f>E605*$B$5*(1+$B$6)</f>
        <v>63050</v>
      </c>
      <c r="G605" s="51">
        <f>F605*$B$7</f>
        <v>157625</v>
      </c>
      <c r="H605" s="51">
        <f>G605-F605</f>
        <v>94575</v>
      </c>
      <c r="I605" s="52">
        <f>H605/G605</f>
        <v>0.6</v>
      </c>
      <c r="J605" s="53" t="n"/>
      <c r="K605" s="54" t="n"/>
    </row>
    <row r="606">
      <c r="A606" s="39" t="inlineStr">
        <is>
          <t>Dolce &amp; Gabbana</t>
        </is>
      </c>
      <c r="B606" s="47" t="inlineStr">
        <is>
          <t>DOLCE&amp;GABBANA QUEEN INTENSE EDP 100ML FEM</t>
        </is>
      </c>
      <c r="C606" s="48" t="n">
        <v>100</v>
      </c>
      <c r="D606" s="49" t="inlineStr">
        <is>
          <t>Diseñador</t>
        </is>
      </c>
      <c r="E606" s="50" t="n">
        <v>55</v>
      </c>
      <c r="F606" s="51">
        <f>E606*$B$5*(1+$B$6)</f>
        <v>71500</v>
      </c>
      <c r="G606" s="51">
        <f>F606*$B$7</f>
        <v>178750</v>
      </c>
      <c r="H606" s="51">
        <f>G606-F606</f>
        <v>107250</v>
      </c>
      <c r="I606" s="52">
        <f>H606/G606</f>
        <v>0.6</v>
      </c>
      <c r="J606" s="53" t="n"/>
      <c r="K606" s="54" t="n"/>
    </row>
    <row r="607">
      <c r="A607" s="39" t="inlineStr">
        <is>
          <t>Dolce &amp; Gabbana</t>
        </is>
      </c>
      <c r="B607" s="47" t="inlineStr">
        <is>
          <t>DOLCE&amp;GABBANA THE ONE EDP INTENSE 100ML</t>
        </is>
      </c>
      <c r="C607" s="48" t="n">
        <v>100</v>
      </c>
      <c r="D607" s="49" t="inlineStr">
        <is>
          <t>Diseñador</t>
        </is>
      </c>
      <c r="E607" s="50" t="n">
        <v>60</v>
      </c>
      <c r="F607" s="51">
        <f>E607*$B$5*(1+$B$6)</f>
        <v>78000</v>
      </c>
      <c r="G607" s="51">
        <f>F607*$B$7</f>
        <v>195000</v>
      </c>
      <c r="H607" s="51">
        <f>G607-F607</f>
        <v>117000</v>
      </c>
      <c r="I607" s="52">
        <f>H607/G607</f>
        <v>0.6</v>
      </c>
      <c r="J607" s="53" t="n"/>
      <c r="K607" s="54" t="n"/>
    </row>
    <row r="608">
      <c r="A608" s="39" t="inlineStr">
        <is>
          <t>Dolce &amp; Gabbana</t>
        </is>
      </c>
      <c r="B608" s="47" t="inlineStr">
        <is>
          <t>DOLCE&amp;GABBANA THE ONE EDP INTENSE 75ML FEM</t>
        </is>
      </c>
      <c r="C608" s="48" t="n">
        <v>75</v>
      </c>
      <c r="D608" s="49" t="inlineStr">
        <is>
          <t>Diseñador</t>
        </is>
      </c>
      <c r="E608" s="50" t="n">
        <v>93</v>
      </c>
      <c r="F608" s="51">
        <f>E608*$B$5*(1+$B$6)</f>
        <v>120900</v>
      </c>
      <c r="G608" s="51">
        <f>F608*$B$7</f>
        <v>302250</v>
      </c>
      <c r="H608" s="51">
        <f>G608-F608</f>
        <v>181350</v>
      </c>
      <c r="I608" s="52">
        <f>H608/G608</f>
        <v>0.6</v>
      </c>
      <c r="J608" s="53" t="n"/>
      <c r="K608" s="54" t="n"/>
    </row>
    <row r="609">
      <c r="A609" s="39" t="inlineStr">
        <is>
          <t>Dolce &amp; Gabbana</t>
        </is>
      </c>
      <c r="B609" s="47" t="inlineStr">
        <is>
          <t>DOLCE&amp;GABBANA THE ONE FOR MEN EDT 100ML</t>
        </is>
      </c>
      <c r="C609" s="48" t="n">
        <v>100</v>
      </c>
      <c r="D609" s="49" t="inlineStr">
        <is>
          <t>Diseñador</t>
        </is>
      </c>
      <c r="E609" s="50" t="n">
        <v>46</v>
      </c>
      <c r="F609" s="51">
        <f>E609*$B$5*(1+$B$6)</f>
        <v>59800</v>
      </c>
      <c r="G609" s="51">
        <f>F609*$B$7</f>
        <v>149500</v>
      </c>
      <c r="H609" s="51">
        <f>G609-F609</f>
        <v>89700</v>
      </c>
      <c r="I609" s="52">
        <f>H609/G609</f>
        <v>0.6</v>
      </c>
      <c r="J609" s="53" t="n"/>
      <c r="K609" s="54" t="n"/>
    </row>
    <row r="610">
      <c r="A610" s="39" t="inlineStr">
        <is>
          <t>Dolce &amp; Gabbana</t>
        </is>
      </c>
      <c r="B610" s="47" t="inlineStr">
        <is>
          <t>DOLCE&amp;GABBANA THE ONE GOLD INTENSE EDP 75ML FEM</t>
        </is>
      </c>
      <c r="C610" s="48" t="n">
        <v>75</v>
      </c>
      <c r="D610" s="49" t="inlineStr">
        <is>
          <t>Diseñador</t>
        </is>
      </c>
      <c r="E610" s="50" t="n">
        <v>56</v>
      </c>
      <c r="F610" s="51">
        <f>E610*$B$5*(1+$B$6)</f>
        <v>72800</v>
      </c>
      <c r="G610" s="51">
        <f>F610*$B$7</f>
        <v>182000</v>
      </c>
      <c r="H610" s="51">
        <f>G610-F610</f>
        <v>109200</v>
      </c>
      <c r="I610" s="52">
        <f>H610/G610</f>
        <v>0.6</v>
      </c>
      <c r="J610" s="53" t="n"/>
      <c r="K610" s="54" t="n"/>
    </row>
    <row r="611">
      <c r="A611" s="39" t="inlineStr">
        <is>
          <t>Dolce &amp; Gabbana</t>
        </is>
      </c>
      <c r="B611" s="47" t="inlineStr">
        <is>
          <t>DOLCE&amp;GABBANA THE ONE GOLD INTENSE FOR MEN EDP 100ML MASC</t>
        </is>
      </c>
      <c r="C611" s="48" t="n">
        <v>100</v>
      </c>
      <c r="D611" s="49" t="inlineStr">
        <is>
          <t>Diseñador</t>
        </is>
      </c>
      <c r="E611" s="50" t="n">
        <v>62</v>
      </c>
      <c r="F611" s="51">
        <f>E611*$B$5*(1+$B$6)</f>
        <v>80600</v>
      </c>
      <c r="G611" s="51">
        <f>F611*$B$7</f>
        <v>201500</v>
      </c>
      <c r="H611" s="51">
        <f>G611-F611</f>
        <v>120900</v>
      </c>
      <c r="I611" s="52">
        <f>H611/G611</f>
        <v>0.6</v>
      </c>
      <c r="J611" s="53" t="n"/>
      <c r="K611" s="54" t="n"/>
    </row>
    <row r="612">
      <c r="A612" s="39" t="inlineStr">
        <is>
          <t>Dolce &amp; Gabbana</t>
        </is>
      </c>
      <c r="B612" s="47" t="inlineStr">
        <is>
          <t>DOLCE&amp;GABBANA THE ONE POUR HOMME EDP 100ML MASC</t>
        </is>
      </c>
      <c r="C612" s="48" t="n">
        <v>100</v>
      </c>
      <c r="D612" s="49" t="inlineStr">
        <is>
          <t>Diseñador</t>
        </is>
      </c>
      <c r="E612" s="50" t="n">
        <v>60</v>
      </c>
      <c r="F612" s="51">
        <f>E612*$B$5*(1+$B$6)</f>
        <v>78000</v>
      </c>
      <c r="G612" s="51">
        <f>F612*$B$7</f>
        <v>195000</v>
      </c>
      <c r="H612" s="51">
        <f>G612-F612</f>
        <v>117000</v>
      </c>
      <c r="I612" s="52">
        <f>H612/G612</f>
        <v>0.6</v>
      </c>
      <c r="J612" s="53" t="n"/>
      <c r="K612" s="54" t="n"/>
    </row>
    <row r="613">
      <c r="A613" s="39" t="inlineStr">
        <is>
          <t>Dolce &amp; Gabbana</t>
        </is>
      </c>
      <c r="B613" s="47" t="inlineStr">
        <is>
          <t>DOLCE&amp;GABBANA THE ONE POUR HOMME EDT 150ML MASC</t>
        </is>
      </c>
      <c r="C613" s="48" t="n">
        <v>150</v>
      </c>
      <c r="D613" s="49" t="inlineStr">
        <is>
          <t>Diseñador</t>
        </is>
      </c>
      <c r="E613" s="50" t="n">
        <v>61</v>
      </c>
      <c r="F613" s="51">
        <f>E613*$B$5*(1+$B$6)</f>
        <v>79300</v>
      </c>
      <c r="G613" s="51">
        <f>F613*$B$7</f>
        <v>198250</v>
      </c>
      <c r="H613" s="51">
        <f>G613-F613</f>
        <v>118950</v>
      </c>
      <c r="I613" s="52">
        <f>H613/G613</f>
        <v>0.6</v>
      </c>
      <c r="J613" s="53" t="n"/>
      <c r="K613" s="54" t="n"/>
    </row>
    <row r="614">
      <c r="A614" s="39" t="inlineStr">
        <is>
          <t>Dolce &amp; Gabbana</t>
        </is>
      </c>
      <c r="B614" s="47" t="inlineStr">
        <is>
          <t>DOLCE&amp;GABBANA THE ONLY ONE EDP 100ML</t>
        </is>
      </c>
      <c r="C614" s="48" t="n">
        <v>100</v>
      </c>
      <c r="D614" s="49" t="inlineStr">
        <is>
          <t>Diseñador</t>
        </is>
      </c>
      <c r="E614" s="50" t="n">
        <v>58</v>
      </c>
      <c r="F614" s="51">
        <f>E614*$B$5*(1+$B$6)</f>
        <v>75400</v>
      </c>
      <c r="G614" s="51">
        <f>F614*$B$7</f>
        <v>188500</v>
      </c>
      <c r="H614" s="51">
        <f>G614-F614</f>
        <v>113100</v>
      </c>
      <c r="I614" s="52">
        <f>H614/G614</f>
        <v>0.6</v>
      </c>
      <c r="J614" s="53" t="n"/>
      <c r="K614" s="54" t="n"/>
    </row>
    <row r="615">
      <c r="A615" s="39" t="inlineStr">
        <is>
          <t>Dolce &amp; Gabbana</t>
        </is>
      </c>
      <c r="B615" s="47" t="inlineStr">
        <is>
          <t>DOLCE&amp;GABBANA THE ONLY ONE EDP INTENSE 100ML</t>
        </is>
      </c>
      <c r="C615" s="48" t="n">
        <v>100</v>
      </c>
      <c r="D615" s="49" t="inlineStr">
        <is>
          <t>Diseñador</t>
        </is>
      </c>
      <c r="E615" s="50" t="n">
        <v>64</v>
      </c>
      <c r="F615" s="51">
        <f>E615*$B$5*(1+$B$6)</f>
        <v>83200</v>
      </c>
      <c r="G615" s="51">
        <f>F615*$B$7</f>
        <v>208000</v>
      </c>
      <c r="H615" s="51">
        <f>G615-F615</f>
        <v>124800</v>
      </c>
      <c r="I615" s="52">
        <f>H615/G615</f>
        <v>0.6</v>
      </c>
      <c r="J615" s="53" t="n"/>
      <c r="K615" s="54" t="n"/>
    </row>
    <row r="616">
      <c r="A616" s="39" t="inlineStr">
        <is>
          <t>Dolce &amp; Gabbana</t>
        </is>
      </c>
      <c r="B616" s="47" t="inlineStr">
        <is>
          <t>Intenso EDP (masc) — TESTER</t>
        </is>
      </c>
      <c r="C616" s="48" t="n">
        <v>125</v>
      </c>
      <c r="D616" s="49" t="inlineStr">
        <is>
          <t>Tester</t>
        </is>
      </c>
      <c r="E616" s="50" t="n">
        <v>42</v>
      </c>
      <c r="F616" s="51">
        <f>E616*$B$5*(1+$B$6)</f>
        <v>54600</v>
      </c>
      <c r="G616" s="51">
        <f>F616*$B$7</f>
        <v>136500</v>
      </c>
      <c r="H616" s="51">
        <f>G616-F616</f>
        <v>81900</v>
      </c>
      <c r="I616" s="52">
        <f>H616/G616</f>
        <v>0.6</v>
      </c>
      <c r="J616" s="53" t="n"/>
      <c r="K616" s="54" t="inlineStr">
        <is>
          <t>Tester</t>
        </is>
      </c>
    </row>
    <row r="617">
      <c r="A617" s="39" t="inlineStr">
        <is>
          <t>Dolce &amp; Gabbana</t>
        </is>
      </c>
      <c r="B617" s="47" t="inlineStr">
        <is>
          <t>TESTER DOLCE &amp; GABBANA FOR MEN EDT 125ML</t>
        </is>
      </c>
      <c r="C617" s="48" t="n">
        <v>125</v>
      </c>
      <c r="D617" s="49" t="inlineStr">
        <is>
          <t>Tester</t>
        </is>
      </c>
      <c r="E617" s="50" t="n">
        <v>38</v>
      </c>
      <c r="F617" s="51">
        <f>E617*$B$5*(1+$B$6)</f>
        <v>49400</v>
      </c>
      <c r="G617" s="51">
        <f>F617*$B$7</f>
        <v>123500</v>
      </c>
      <c r="H617" s="51">
        <f>G617-F617</f>
        <v>74100</v>
      </c>
      <c r="I617" s="52">
        <f>H617/G617</f>
        <v>0.6</v>
      </c>
      <c r="J617" s="53" t="n"/>
      <c r="K617" s="54" t="n"/>
    </row>
    <row r="618">
      <c r="A618" s="39" t="inlineStr">
        <is>
          <t>Dolce &amp; Gabbana</t>
        </is>
      </c>
      <c r="B618" s="47" t="inlineStr">
        <is>
          <t>TESTER DOLCE &amp; GABBANA GOLD THE ONE MEN EDP INTENSE 100ML</t>
        </is>
      </c>
      <c r="C618" s="48" t="n">
        <v>100</v>
      </c>
      <c r="D618" s="49" t="inlineStr">
        <is>
          <t>Tester</t>
        </is>
      </c>
      <c r="E618" s="50" t="n">
        <v>43</v>
      </c>
      <c r="F618" s="51">
        <f>E618*$B$5*(1+$B$6)</f>
        <v>55900</v>
      </c>
      <c r="G618" s="51">
        <f>F618*$B$7</f>
        <v>139750</v>
      </c>
      <c r="H618" s="51">
        <f>G618-F618</f>
        <v>83850</v>
      </c>
      <c r="I618" s="52">
        <f>H618/G618</f>
        <v>0.6</v>
      </c>
      <c r="J618" s="53" t="n"/>
      <c r="K618" s="54" t="n"/>
    </row>
    <row r="619">
      <c r="A619" s="39" t="inlineStr">
        <is>
          <t>Dolce &amp; Gabbana</t>
        </is>
      </c>
      <c r="B619" s="47" t="inlineStr">
        <is>
          <t>TESTER DOLCE &amp; GABBANA LIGHT BLUE EDT 100ML FEM</t>
        </is>
      </c>
      <c r="C619" s="48" t="n">
        <v>100</v>
      </c>
      <c r="D619" s="49" t="inlineStr">
        <is>
          <t>Tester</t>
        </is>
      </c>
      <c r="E619" s="50" t="n">
        <v>38</v>
      </c>
      <c r="F619" s="51">
        <f>E619*$B$5*(1+$B$6)</f>
        <v>49400</v>
      </c>
      <c r="G619" s="51">
        <f>F619*$B$7</f>
        <v>123500</v>
      </c>
      <c r="H619" s="51">
        <f>G619-F619</f>
        <v>74100</v>
      </c>
      <c r="I619" s="52">
        <f>H619/G619</f>
        <v>0.6</v>
      </c>
      <c r="J619" s="53" t="n"/>
      <c r="K619" s="54" t="n"/>
    </row>
    <row r="620">
      <c r="A620" s="39" t="inlineStr">
        <is>
          <t>Dolce &amp; Gabbana</t>
        </is>
      </c>
      <c r="B620" s="47" t="inlineStr">
        <is>
          <t>TESTER DOLCE &amp; GABBANA LIGHT BLUE EDT 100ML MASC C/T</t>
        </is>
      </c>
      <c r="C620" s="48" t="n">
        <v>100</v>
      </c>
      <c r="D620" s="49" t="inlineStr">
        <is>
          <t>Tester</t>
        </is>
      </c>
      <c r="E620" s="50" t="n">
        <v>45</v>
      </c>
      <c r="F620" s="51">
        <f>E620*$B$5*(1+$B$6)</f>
        <v>58500</v>
      </c>
      <c r="G620" s="51">
        <f>F620*$B$7</f>
        <v>146250</v>
      </c>
      <c r="H620" s="51">
        <f>G620-F620</f>
        <v>87750</v>
      </c>
      <c r="I620" s="52">
        <f>H620/G620</f>
        <v>0.6</v>
      </c>
      <c r="J620" s="53" t="n"/>
      <c r="K620" s="54" t="n"/>
    </row>
    <row r="621">
      <c r="A621" s="39" t="inlineStr">
        <is>
          <t>Dolce &amp; Gabbana</t>
        </is>
      </c>
      <c r="B621" s="47" t="inlineStr">
        <is>
          <t>TESTER DOLCE &amp; GABBANA LIGHT BLUE INTENSE 100ML FEM</t>
        </is>
      </c>
      <c r="C621" s="48" t="n">
        <v>100</v>
      </c>
      <c r="D621" s="49" t="inlineStr">
        <is>
          <t>Tester</t>
        </is>
      </c>
      <c r="E621" s="50" t="n">
        <v>56</v>
      </c>
      <c r="F621" s="51">
        <f>E621*$B$5*(1+$B$6)</f>
        <v>72800</v>
      </c>
      <c r="G621" s="51">
        <f>F621*$B$7</f>
        <v>182000</v>
      </c>
      <c r="H621" s="51">
        <f>G621-F621</f>
        <v>109200</v>
      </c>
      <c r="I621" s="52">
        <f>H621/G621</f>
        <v>0.6</v>
      </c>
      <c r="J621" s="53" t="n"/>
      <c r="K621" s="54" t="n"/>
    </row>
    <row r="622">
      <c r="A622" s="39" t="inlineStr">
        <is>
          <t>Dolce &amp; Gabbana</t>
        </is>
      </c>
      <c r="B622" s="47" t="inlineStr">
        <is>
          <t>TESTER DOLCE &amp; GABBANA THE ONE EDP 75ML</t>
        </is>
      </c>
      <c r="C622" s="48" t="n">
        <v>75</v>
      </c>
      <c r="D622" s="49" t="inlineStr">
        <is>
          <t>Tester</t>
        </is>
      </c>
      <c r="E622" s="50" t="n">
        <v>49.5</v>
      </c>
      <c r="F622" s="51">
        <f>E622*$B$5*(1+$B$6)</f>
        <v>64350</v>
      </c>
      <c r="G622" s="51">
        <f>F622*$B$7</f>
        <v>160875</v>
      </c>
      <c r="H622" s="51">
        <f>G622-F622</f>
        <v>96525</v>
      </c>
      <c r="I622" s="52">
        <f>H622/G622</f>
        <v>0.6</v>
      </c>
      <c r="J622" s="53" t="n"/>
      <c r="K622" s="54" t="n"/>
    </row>
    <row r="623">
      <c r="A623" s="39" t="inlineStr">
        <is>
          <t>Dolce &amp; Gabbana</t>
        </is>
      </c>
      <c r="B623" s="47" t="inlineStr">
        <is>
          <t>TESTER DOLCE &amp; GABBANA THE ONE EDT 100ML</t>
        </is>
      </c>
      <c r="C623" s="48" t="n">
        <v>100</v>
      </c>
      <c r="D623" s="49" t="inlineStr">
        <is>
          <t>Tester</t>
        </is>
      </c>
      <c r="E623" s="50" t="n">
        <v>45</v>
      </c>
      <c r="F623" s="51">
        <f>E623*$B$5*(1+$B$6)</f>
        <v>58500</v>
      </c>
      <c r="G623" s="51">
        <f>F623*$B$7</f>
        <v>146250</v>
      </c>
      <c r="H623" s="51">
        <f>G623-F623</f>
        <v>87750</v>
      </c>
      <c r="I623" s="52">
        <f>H623/G623</f>
        <v>0.6</v>
      </c>
      <c r="J623" s="53" t="n"/>
      <c r="K623" s="54" t="n"/>
    </row>
    <row r="624">
      <c r="A624" s="39" t="inlineStr">
        <is>
          <t>Donna Karan</t>
        </is>
      </c>
      <c r="B624" s="47" t="inlineStr">
        <is>
          <t>DONNA KARAN DKNY MEN EAU DE COLOGNE 100ML</t>
        </is>
      </c>
      <c r="C624" s="48" t="n">
        <v>100</v>
      </c>
      <c r="D624" s="49" t="inlineStr">
        <is>
          <t>Diseñador</t>
        </is>
      </c>
      <c r="E624" s="50" t="n">
        <v>38</v>
      </c>
      <c r="F624" s="51">
        <f>E624*$B$5*(1+$B$6)</f>
        <v>49400</v>
      </c>
      <c r="G624" s="51">
        <f>F624*$B$7</f>
        <v>123500</v>
      </c>
      <c r="H624" s="51">
        <f>G624-F624</f>
        <v>74100</v>
      </c>
      <c r="I624" s="52">
        <f>H624/G624</f>
        <v>0.6</v>
      </c>
      <c r="J624" s="53" t="n"/>
      <c r="K624" s="54" t="n"/>
    </row>
    <row r="625">
      <c r="A625" s="39" t="inlineStr">
        <is>
          <t>Elie Saab</t>
        </is>
      </c>
      <c r="B625" s="47" t="inlineStr">
        <is>
          <t>ELIE SAAB L'HOMME EDP 100ML MASC</t>
        </is>
      </c>
      <c r="C625" s="48" t="n">
        <v>100</v>
      </c>
      <c r="D625" s="49" t="inlineStr">
        <is>
          <t>Diseñador</t>
        </is>
      </c>
      <c r="E625" s="50" t="n">
        <v>84</v>
      </c>
      <c r="F625" s="51">
        <f>E625*$B$5*(1+$B$6)</f>
        <v>109200</v>
      </c>
      <c r="G625" s="51">
        <f>F625*$B$7</f>
        <v>273000</v>
      </c>
      <c r="H625" s="51">
        <f>G625-F625</f>
        <v>163800</v>
      </c>
      <c r="I625" s="52">
        <f>H625/G625</f>
        <v>0.6</v>
      </c>
      <c r="J625" s="53" t="n"/>
      <c r="K625" s="54" t="n"/>
    </row>
    <row r="626">
      <c r="A626" s="39" t="inlineStr">
        <is>
          <t>Elie Saab</t>
        </is>
      </c>
      <c r="B626" s="47" t="inlineStr">
        <is>
          <t>ELIE SAAB LE PARFUM BRIDAL EDP 90ML</t>
        </is>
      </c>
      <c r="C626" s="48" t="n">
        <v>90</v>
      </c>
      <c r="D626" s="49" t="inlineStr">
        <is>
          <t>Diseñador</t>
        </is>
      </c>
      <c r="E626" s="50" t="n">
        <v>56</v>
      </c>
      <c r="F626" s="51">
        <f>E626*$B$5*(1+$B$6)</f>
        <v>72800</v>
      </c>
      <c r="G626" s="51">
        <f>F626*$B$7</f>
        <v>182000</v>
      </c>
      <c r="H626" s="51">
        <f>G626-F626</f>
        <v>109200</v>
      </c>
      <c r="I626" s="52">
        <f>H626/G626</f>
        <v>0.6</v>
      </c>
      <c r="J626" s="53" t="n"/>
      <c r="K626" s="54" t="n"/>
    </row>
    <row r="627">
      <c r="A627" s="39" t="inlineStr">
        <is>
          <t>Elie Saab</t>
        </is>
      </c>
      <c r="B627" s="47" t="inlineStr">
        <is>
          <t>ELIE SAAB LE PARFUM ROYAL EDP 90ML FEM</t>
        </is>
      </c>
      <c r="C627" s="48" t="n">
        <v>90</v>
      </c>
      <c r="D627" s="49" t="inlineStr">
        <is>
          <t>Diseñador</t>
        </is>
      </c>
      <c r="E627" s="50" t="n">
        <v>54</v>
      </c>
      <c r="F627" s="51">
        <f>E627*$B$5*(1+$B$6)</f>
        <v>70200</v>
      </c>
      <c r="G627" s="51">
        <f>F627*$B$7</f>
        <v>175500</v>
      </c>
      <c r="H627" s="51">
        <f>G627-F627</f>
        <v>105300</v>
      </c>
      <c r="I627" s="52">
        <f>H627/G627</f>
        <v>0.6</v>
      </c>
      <c r="J627" s="53" t="n"/>
      <c r="K627" s="54" t="n"/>
    </row>
    <row r="628">
      <c r="A628" s="39" t="inlineStr">
        <is>
          <t>Elizabeth Arden</t>
        </is>
      </c>
      <c r="B628" s="47" t="inlineStr">
        <is>
          <t>ELIZABETH ARDEN 5TH AVENUE EDP 125ML FEM</t>
        </is>
      </c>
      <c r="C628" s="48" t="n">
        <v>125</v>
      </c>
      <c r="D628" s="49" t="inlineStr">
        <is>
          <t>Diseñador</t>
        </is>
      </c>
      <c r="E628" s="50" t="n">
        <v>21</v>
      </c>
      <c r="F628" s="51">
        <f>E628*$B$5*(1+$B$6)</f>
        <v>27300</v>
      </c>
      <c r="G628" s="51">
        <f>F628*$B$7</f>
        <v>68250</v>
      </c>
      <c r="H628" s="51">
        <f>G628-F628</f>
        <v>40950</v>
      </c>
      <c r="I628" s="52">
        <f>H628/G628</f>
        <v>0.6</v>
      </c>
      <c r="J628" s="53" t="n"/>
      <c r="K628" s="54" t="n"/>
    </row>
    <row r="629">
      <c r="A629" s="39" t="inlineStr">
        <is>
          <t>Elizabeth Arden</t>
        </is>
      </c>
      <c r="B629" s="47" t="inlineStr">
        <is>
          <t>ELIZABETH ARDEN KIT 5TA.AVANUE 125ML EDP 3PCS</t>
        </is>
      </c>
      <c r="C629" s="48" t="n">
        <v>125</v>
      </c>
      <c r="D629" s="49" t="inlineStr">
        <is>
          <t>Diseñador</t>
        </is>
      </c>
      <c r="E629" s="50" t="n">
        <v>31</v>
      </c>
      <c r="F629" s="51">
        <f>E629*$B$5*(1+$B$6)</f>
        <v>40300</v>
      </c>
      <c r="G629" s="51">
        <f>F629*$B$7</f>
        <v>100750</v>
      </c>
      <c r="H629" s="51">
        <f>G629-F629</f>
        <v>60450</v>
      </c>
      <c r="I629" s="52">
        <f>H629/G629</f>
        <v>0.6</v>
      </c>
      <c r="J629" s="53" t="n"/>
      <c r="K629" s="54" t="n"/>
    </row>
    <row r="630">
      <c r="A630" s="39" t="inlineStr">
        <is>
          <t>Escada</t>
        </is>
      </c>
      <c r="B630" s="47" t="inlineStr">
        <is>
          <t>ESCADA FAIRY LOVE EDT 100ML FEM</t>
        </is>
      </c>
      <c r="C630" s="48" t="n">
        <v>100</v>
      </c>
      <c r="D630" s="49" t="inlineStr">
        <is>
          <t>Diseñador</t>
        </is>
      </c>
      <c r="E630" s="50" t="n">
        <v>30</v>
      </c>
      <c r="F630" s="51">
        <f>E630*$B$5*(1+$B$6)</f>
        <v>39000</v>
      </c>
      <c r="G630" s="51">
        <f>F630*$B$7</f>
        <v>97500</v>
      </c>
      <c r="H630" s="51">
        <f>G630-F630</f>
        <v>58500</v>
      </c>
      <c r="I630" s="52">
        <f>H630/G630</f>
        <v>0.6</v>
      </c>
      <c r="J630" s="53" t="n"/>
      <c r="K630" s="54" t="n"/>
    </row>
    <row r="631">
      <c r="A631" s="39" t="inlineStr">
        <is>
          <t>Essential Parfums</t>
        </is>
      </c>
      <c r="B631" s="47" t="inlineStr">
        <is>
          <t>ESSENTIAL PARFUMS NICE BERGAMOTE EDP UNISEX 100ML</t>
        </is>
      </c>
      <c r="C631" s="48" t="n">
        <v>100</v>
      </c>
      <c r="D631" s="49" t="inlineStr">
        <is>
          <t>Nicho</t>
        </is>
      </c>
      <c r="E631" s="50" t="n">
        <v>170</v>
      </c>
      <c r="F631" s="51">
        <f>E631*$B$5*(1+$B$6)</f>
        <v>221000</v>
      </c>
      <c r="G631" s="51">
        <f>F631*$B$7</f>
        <v>552500</v>
      </c>
      <c r="H631" s="51">
        <f>G631-F631</f>
        <v>331500</v>
      </c>
      <c r="I631" s="52">
        <f>H631/G631</f>
        <v>0.6</v>
      </c>
      <c r="J631" s="53" t="n"/>
      <c r="K631" s="54" t="n"/>
    </row>
    <row r="632">
      <c r="A632" s="39" t="inlineStr">
        <is>
          <t>Essential Parfums</t>
        </is>
      </c>
      <c r="B632" s="47" t="inlineStr">
        <is>
          <t>ESSENTIAL PARFUMS PATCHOULI MANIA REFILL EDP 150ML UNISEX</t>
        </is>
      </c>
      <c r="C632" s="48" t="n">
        <v>150</v>
      </c>
      <c r="D632" s="49" t="inlineStr">
        <is>
          <t>Nicho</t>
        </is>
      </c>
      <c r="E632" s="50" t="n">
        <v>130</v>
      </c>
      <c r="F632" s="51">
        <f>E632*$B$5*(1+$B$6)</f>
        <v>169000</v>
      </c>
      <c r="G632" s="51">
        <f>F632*$B$7</f>
        <v>422500</v>
      </c>
      <c r="H632" s="51">
        <f>G632-F632</f>
        <v>253500</v>
      </c>
      <c r="I632" s="52">
        <f>H632/G632</f>
        <v>0.6</v>
      </c>
      <c r="J632" s="53" t="n"/>
      <c r="K632" s="54" t="n"/>
    </row>
    <row r="633">
      <c r="A633" s="39" t="inlineStr">
        <is>
          <t>Ferragamo</t>
        </is>
      </c>
      <c r="B633" s="47" t="inlineStr">
        <is>
          <t>FERRAGAMO UOMO EDT 100ML MASCULINO</t>
        </is>
      </c>
      <c r="C633" s="48" t="n">
        <v>100</v>
      </c>
      <c r="D633" s="49" t="inlineStr">
        <is>
          <t>Diseñador</t>
        </is>
      </c>
      <c r="E633" s="50" t="n">
        <v>45</v>
      </c>
      <c r="F633" s="51">
        <f>E633*$B$5*(1+$B$6)</f>
        <v>58500</v>
      </c>
      <c r="G633" s="51">
        <f>F633*$B$7</f>
        <v>146250</v>
      </c>
      <c r="H633" s="51">
        <f>G633-F633</f>
        <v>87750</v>
      </c>
      <c r="I633" s="52">
        <f>H633/G633</f>
        <v>0.6</v>
      </c>
      <c r="J633" s="53" t="n"/>
      <c r="K633" s="54" t="n"/>
    </row>
    <row r="634">
      <c r="A634" s="39" t="inlineStr">
        <is>
          <t>Ferrari</t>
        </is>
      </c>
      <c r="B634" s="47" t="inlineStr">
        <is>
          <t>Scuderia Black EDT</t>
        </is>
      </c>
      <c r="C634" s="48" t="n">
        <v>125</v>
      </c>
      <c r="D634" s="49" t="inlineStr">
        <is>
          <t>Diseñador</t>
        </is>
      </c>
      <c r="E634" s="50" t="n">
        <v>14.9</v>
      </c>
      <c r="F634" s="51">
        <f>E634*$B$5*(1+$B$6)</f>
        <v>19370</v>
      </c>
      <c r="G634" s="51">
        <f>F634*$B$7</f>
        <v>48425</v>
      </c>
      <c r="H634" s="51">
        <f>G634-F634</f>
        <v>29055</v>
      </c>
      <c r="I634" s="52">
        <f>H634/G634</f>
        <v>0.6</v>
      </c>
      <c r="J634" s="53" t="n"/>
      <c r="K634" s="54" t="inlineStr">
        <is>
          <t>Bajo costo, alta rotación</t>
        </is>
      </c>
    </row>
    <row r="635">
      <c r="A635" s="39" t="inlineStr">
        <is>
          <t>Ferrari</t>
        </is>
      </c>
      <c r="B635" s="47" t="inlineStr">
        <is>
          <t>TESTER FERRARI BLACK EDT 125ML</t>
        </is>
      </c>
      <c r="C635" s="48" t="n">
        <v>125</v>
      </c>
      <c r="D635" s="49" t="inlineStr">
        <is>
          <t>Tester</t>
        </is>
      </c>
      <c r="E635" s="50" t="n">
        <v>11</v>
      </c>
      <c r="F635" s="51">
        <f>E635*$B$5*(1+$B$6)</f>
        <v>14300</v>
      </c>
      <c r="G635" s="51">
        <f>F635*$B$7</f>
        <v>35750</v>
      </c>
      <c r="H635" s="51">
        <f>G635-F635</f>
        <v>21450</v>
      </c>
      <c r="I635" s="52">
        <f>H635/G635</f>
        <v>0.6</v>
      </c>
      <c r="J635" s="53" t="n"/>
      <c r="K635" s="54" t="n"/>
    </row>
    <row r="636">
      <c r="A636" s="39" t="inlineStr">
        <is>
          <t>Fragrance World</t>
        </is>
      </c>
      <c r="B636" s="47" t="inlineStr">
        <is>
          <t>FRAGRANCE WORLD AL EMIR EDP 100ML</t>
        </is>
      </c>
      <c r="C636" s="48" t="n">
        <v>100</v>
      </c>
      <c r="D636" s="49" t="inlineStr">
        <is>
          <t>Árabe</t>
        </is>
      </c>
      <c r="E636" s="50" t="n">
        <v>16</v>
      </c>
      <c r="F636" s="51">
        <f>E636*$B$5*(1+$B$6)</f>
        <v>20800</v>
      </c>
      <c r="G636" s="51">
        <f>F636*$B$7</f>
        <v>52000</v>
      </c>
      <c r="H636" s="51">
        <f>G636-F636</f>
        <v>31200</v>
      </c>
      <c r="I636" s="52">
        <f>H636/G636</f>
        <v>0.6</v>
      </c>
      <c r="J636" s="53" t="n"/>
      <c r="K636" s="54" t="inlineStr">
        <is>
          <t>clon/genérico</t>
        </is>
      </c>
    </row>
    <row r="637">
      <c r="A637" s="39" t="inlineStr">
        <is>
          <t>Fragrance World</t>
        </is>
      </c>
      <c r="B637" s="47" t="inlineStr">
        <is>
          <t>FRAGRANCE WORLD FIERO BLEU EDP 100ML MASC</t>
        </is>
      </c>
      <c r="C637" s="48" t="n">
        <v>100</v>
      </c>
      <c r="D637" s="49" t="inlineStr">
        <is>
          <t>Árabe</t>
        </is>
      </c>
      <c r="E637" s="50" t="n">
        <v>13.25</v>
      </c>
      <c r="F637" s="51">
        <f>E637*$B$5*(1+$B$6)</f>
        <v>17225</v>
      </c>
      <c r="G637" s="51">
        <f>F637*$B$7</f>
        <v>43062.5</v>
      </c>
      <c r="H637" s="51">
        <f>G637-F637</f>
        <v>25837.5</v>
      </c>
      <c r="I637" s="52">
        <f>H637/G637</f>
        <v>0.6</v>
      </c>
      <c r="J637" s="53" t="n"/>
      <c r="K637" s="54" t="inlineStr">
        <is>
          <t>clon/genérico</t>
        </is>
      </c>
    </row>
    <row r="638">
      <c r="A638" s="39" t="inlineStr">
        <is>
          <t>Frederic Malle</t>
        </is>
      </c>
      <c r="B638" s="47" t="inlineStr">
        <is>
          <t>FREDERIC MALLE ANGELIQUES SOUS LA PLUIE EDP WOMEN 100ML</t>
        </is>
      </c>
      <c r="C638" s="48" t="n">
        <v>100</v>
      </c>
      <c r="D638" s="49" t="inlineStr">
        <is>
          <t>Nicho</t>
        </is>
      </c>
      <c r="E638" s="50" t="n">
        <v>280</v>
      </c>
      <c r="F638" s="51">
        <f>E638*$B$5*(1+$B$6)</f>
        <v>364000</v>
      </c>
      <c r="G638" s="51">
        <f>F638*$B$7</f>
        <v>910000</v>
      </c>
      <c r="H638" s="51">
        <f>G638-F638</f>
        <v>546000</v>
      </c>
      <c r="I638" s="52">
        <f>H638/G638</f>
        <v>0.6</v>
      </c>
      <c r="J638" s="53" t="n"/>
      <c r="K638" s="54" t="n"/>
    </row>
    <row r="639">
      <c r="A639" s="39" t="inlineStr">
        <is>
          <t>Frederic Malle</t>
        </is>
      </c>
      <c r="B639" s="47" t="inlineStr">
        <is>
          <t>FREDERIC MALLE EN PASSANT EDP 100ML FEM</t>
        </is>
      </c>
      <c r="C639" s="48" t="n">
        <v>100</v>
      </c>
      <c r="D639" s="49" t="inlineStr">
        <is>
          <t>Nicho</t>
        </is>
      </c>
      <c r="E639" s="50" t="n">
        <v>300</v>
      </c>
      <c r="F639" s="51">
        <f>E639*$B$5*(1+$B$6)</f>
        <v>390000</v>
      </c>
      <c r="G639" s="51">
        <f>F639*$B$7</f>
        <v>975000</v>
      </c>
      <c r="H639" s="51">
        <f>G639-F639</f>
        <v>585000</v>
      </c>
      <c r="I639" s="52">
        <f>H639/G639</f>
        <v>0.6</v>
      </c>
      <c r="J639" s="53" t="n"/>
      <c r="K639" s="54" t="n"/>
    </row>
    <row r="640">
      <c r="A640" s="39" t="inlineStr">
        <is>
          <t>Frederic Malle</t>
        </is>
      </c>
      <c r="B640" s="47" t="inlineStr">
        <is>
          <t>FREDERIC MALLE FRENCH LOVER EDP 100ML FOR MEN</t>
        </is>
      </c>
      <c r="C640" s="48" t="n">
        <v>100</v>
      </c>
      <c r="D640" s="49" t="inlineStr">
        <is>
          <t>Nicho</t>
        </is>
      </c>
      <c r="E640" s="50" t="n">
        <v>320</v>
      </c>
      <c r="F640" s="51">
        <f>E640*$B$5*(1+$B$6)</f>
        <v>416000</v>
      </c>
      <c r="G640" s="51">
        <f>F640*$B$7</f>
        <v>1040000</v>
      </c>
      <c r="H640" s="51">
        <f>G640-F640</f>
        <v>624000</v>
      </c>
      <c r="I640" s="52">
        <f>H640/G640</f>
        <v>0.6</v>
      </c>
      <c r="J640" s="53" t="n"/>
      <c r="K640" s="54" t="n"/>
    </row>
    <row r="641">
      <c r="A641" s="39" t="inlineStr">
        <is>
          <t>Frederic Malle</t>
        </is>
      </c>
      <c r="B641" s="47" t="inlineStr">
        <is>
          <t>FREDERIC MALLE IRIS POUDRE EDP 100ML FEM</t>
        </is>
      </c>
      <c r="C641" s="48" t="n">
        <v>100</v>
      </c>
      <c r="D641" s="49" t="inlineStr">
        <is>
          <t>Nicho</t>
        </is>
      </c>
      <c r="E641" s="50" t="n">
        <v>300</v>
      </c>
      <c r="F641" s="51">
        <f>E641*$B$5*(1+$B$6)</f>
        <v>390000</v>
      </c>
      <c r="G641" s="51">
        <f>F641*$B$7</f>
        <v>975000</v>
      </c>
      <c r="H641" s="51">
        <f>G641-F641</f>
        <v>585000</v>
      </c>
      <c r="I641" s="52">
        <f>H641/G641</f>
        <v>0.6</v>
      </c>
      <c r="J641" s="53" t="n"/>
      <c r="K641" s="54" t="n"/>
    </row>
    <row r="642">
      <c r="A642" s="39" t="inlineStr">
        <is>
          <t>Frederic Malle</t>
        </is>
      </c>
      <c r="B642" s="47" t="inlineStr">
        <is>
          <t>FREDERIC MALLE LIPSTICK ROSE EDP 100ML FEM</t>
        </is>
      </c>
      <c r="C642" s="48" t="n">
        <v>100</v>
      </c>
      <c r="D642" s="49" t="inlineStr">
        <is>
          <t>Nicho</t>
        </is>
      </c>
      <c r="E642" s="50" t="n">
        <v>290</v>
      </c>
      <c r="F642" s="51">
        <f>E642*$B$5*(1+$B$6)</f>
        <v>377000</v>
      </c>
      <c r="G642" s="51">
        <f>F642*$B$7</f>
        <v>942500</v>
      </c>
      <c r="H642" s="51">
        <f>G642-F642</f>
        <v>565500</v>
      </c>
      <c r="I642" s="52">
        <f>H642/G642</f>
        <v>0.6</v>
      </c>
      <c r="J642" s="53" t="n"/>
      <c r="K642" s="54" t="n"/>
    </row>
    <row r="643">
      <c r="A643" s="39" t="inlineStr">
        <is>
          <t>Frederic Malle</t>
        </is>
      </c>
      <c r="B643" s="47" t="inlineStr">
        <is>
          <t>FREDERIC MALLE ROSE &amp; CUIR EDP 100ML</t>
        </is>
      </c>
      <c r="C643" s="48" t="n">
        <v>100</v>
      </c>
      <c r="D643" s="49" t="inlineStr">
        <is>
          <t>Nicho</t>
        </is>
      </c>
      <c r="E643" s="50" t="n">
        <v>300</v>
      </c>
      <c r="F643" s="51">
        <f>E643*$B$5*(1+$B$6)</f>
        <v>390000</v>
      </c>
      <c r="G643" s="51">
        <f>F643*$B$7</f>
        <v>975000</v>
      </c>
      <c r="H643" s="51">
        <f>G643-F643</f>
        <v>585000</v>
      </c>
      <c r="I643" s="52">
        <f>H643/G643</f>
        <v>0.6</v>
      </c>
      <c r="J643" s="53" t="n"/>
      <c r="K643" s="54" t="n"/>
    </row>
    <row r="644">
      <c r="A644" s="39" t="inlineStr">
        <is>
          <t>Frederic Malle</t>
        </is>
      </c>
      <c r="B644" s="47" t="inlineStr">
        <is>
          <t>FREDERIC MALLE VETIVER EXTRAORDINAIRE EDP 90ML MASC</t>
        </is>
      </c>
      <c r="C644" s="48" t="n">
        <v>90</v>
      </c>
      <c r="D644" s="49" t="inlineStr">
        <is>
          <t>Nicho</t>
        </is>
      </c>
      <c r="E644" s="50" t="n">
        <v>300</v>
      </c>
      <c r="F644" s="51">
        <f>E644*$B$5*(1+$B$6)</f>
        <v>390000</v>
      </c>
      <c r="G644" s="51">
        <f>F644*$B$7</f>
        <v>975000</v>
      </c>
      <c r="H644" s="51">
        <f>G644-F644</f>
        <v>585000</v>
      </c>
      <c r="I644" s="52">
        <f>H644/G644</f>
        <v>0.6</v>
      </c>
      <c r="J644" s="53" t="n"/>
      <c r="K644" s="54" t="n"/>
    </row>
    <row r="645">
      <c r="A645" s="39" t="inlineStr">
        <is>
          <t>French Avenue</t>
        </is>
      </c>
      <c r="B645" s="47" t="inlineStr">
        <is>
          <t>Atlantis EXDP</t>
        </is>
      </c>
      <c r="C645" s="48" t="n">
        <v>100</v>
      </c>
      <c r="D645" s="49" t="inlineStr">
        <is>
          <t>Nicho</t>
        </is>
      </c>
      <c r="E645" s="50" t="n">
        <v>41.5</v>
      </c>
      <c r="F645" s="51">
        <f>E645*$B$5*(1+$B$6)</f>
        <v>53950</v>
      </c>
      <c r="G645" s="51">
        <f>F645*$B$7</f>
        <v>134875</v>
      </c>
      <c r="H645" s="51">
        <f>G645-F645</f>
        <v>80925</v>
      </c>
      <c r="I645" s="52">
        <f>H645/G645</f>
        <v>0.6</v>
      </c>
      <c r="J645" s="53" t="n"/>
      <c r="K645" s="54" t="inlineStr">
        <is>
          <t>Clon nicho</t>
        </is>
      </c>
    </row>
    <row r="646">
      <c r="A646" s="39" t="inlineStr">
        <is>
          <t>French Avenue</t>
        </is>
      </c>
      <c r="B646" s="47" t="inlineStr">
        <is>
          <t>FRENCH AVENUE AETHER EXTRAIT EDP 100ML FEM</t>
        </is>
      </c>
      <c r="C646" s="48" t="n">
        <v>100</v>
      </c>
      <c r="D646" s="49" t="inlineStr">
        <is>
          <t>Nicho</t>
        </is>
      </c>
      <c r="E646" s="50" t="n">
        <v>32.75</v>
      </c>
      <c r="F646" s="51">
        <f>E646*$B$5*(1+$B$6)</f>
        <v>42575</v>
      </c>
      <c r="G646" s="51">
        <f>F646*$B$7</f>
        <v>106437.5</v>
      </c>
      <c r="H646" s="51">
        <f>G646-F646</f>
        <v>63862.5</v>
      </c>
      <c r="I646" s="52">
        <f>H646/G646</f>
        <v>0.6</v>
      </c>
      <c r="J646" s="53" t="n"/>
      <c r="K646" s="54" t="n"/>
    </row>
    <row r="647">
      <c r="A647" s="39" t="inlineStr">
        <is>
          <t>French Avenue</t>
        </is>
      </c>
      <c r="B647" s="47" t="inlineStr">
        <is>
          <t>FRENCH AVENUE AMBER EMPIRE EXT 100ML</t>
        </is>
      </c>
      <c r="C647" s="48" t="n">
        <v>100</v>
      </c>
      <c r="D647" s="49" t="inlineStr">
        <is>
          <t>Nicho</t>
        </is>
      </c>
      <c r="E647" s="50" t="n">
        <v>34</v>
      </c>
      <c r="F647" s="51">
        <f>E647*$B$5*(1+$B$6)</f>
        <v>44200</v>
      </c>
      <c r="G647" s="51">
        <f>F647*$B$7</f>
        <v>110500</v>
      </c>
      <c r="H647" s="51">
        <f>G647-F647</f>
        <v>66300</v>
      </c>
      <c r="I647" s="52">
        <f>H647/G647</f>
        <v>0.6</v>
      </c>
      <c r="J647" s="53" t="n"/>
      <c r="K647" s="54" t="n"/>
    </row>
    <row r="648">
      <c r="A648" s="39" t="inlineStr">
        <is>
          <t>French Avenue</t>
        </is>
      </c>
      <c r="B648" s="47" t="inlineStr">
        <is>
          <t>FRENCH AVENUE AZZURE AOUD EDP 100ML MASC</t>
        </is>
      </c>
      <c r="C648" s="48" t="n">
        <v>100</v>
      </c>
      <c r="D648" s="49" t="inlineStr">
        <is>
          <t>Nicho</t>
        </is>
      </c>
      <c r="E648" s="50" t="n">
        <v>22.5</v>
      </c>
      <c r="F648" s="51">
        <f>E648*$B$5*(1+$B$6)</f>
        <v>29250</v>
      </c>
      <c r="G648" s="51">
        <f>F648*$B$7</f>
        <v>73125</v>
      </c>
      <c r="H648" s="51">
        <f>G648-F648</f>
        <v>43875</v>
      </c>
      <c r="I648" s="52">
        <f>H648/G648</f>
        <v>0.6</v>
      </c>
      <c r="J648" s="53" t="n"/>
      <c r="K648" s="54" t="n"/>
    </row>
    <row r="649">
      <c r="A649" s="39" t="inlineStr">
        <is>
          <t>French Avenue</t>
        </is>
      </c>
      <c r="B649" s="47" t="inlineStr">
        <is>
          <t>FRENCH AVENUE CHAOS EXTRAIT 100ML</t>
        </is>
      </c>
      <c r="C649" s="48" t="n">
        <v>100</v>
      </c>
      <c r="D649" s="49" t="inlineStr">
        <is>
          <t>Nicho</t>
        </is>
      </c>
      <c r="E649" s="50" t="n">
        <v>28.5</v>
      </c>
      <c r="F649" s="51">
        <f>E649*$B$5*(1+$B$6)</f>
        <v>37050</v>
      </c>
      <c r="G649" s="51">
        <f>F649*$B$7</f>
        <v>92625</v>
      </c>
      <c r="H649" s="51">
        <f>G649-F649</f>
        <v>55575</v>
      </c>
      <c r="I649" s="52">
        <f>H649/G649</f>
        <v>0.6</v>
      </c>
      <c r="J649" s="53" t="n"/>
      <c r="K649" s="54" t="n"/>
    </row>
    <row r="650">
      <c r="A650" s="39" t="inlineStr">
        <is>
          <t>French Avenue</t>
        </is>
      </c>
      <c r="B650" s="47" t="inlineStr">
        <is>
          <t>FRENCH AVENUE CHOCOLA ADDICT EDP 100ML</t>
        </is>
      </c>
      <c r="C650" s="48" t="n">
        <v>100</v>
      </c>
      <c r="D650" s="49" t="inlineStr">
        <is>
          <t>Nicho</t>
        </is>
      </c>
      <c r="E650" s="50" t="n">
        <v>28</v>
      </c>
      <c r="F650" s="51">
        <f>E650*$B$5*(1+$B$6)</f>
        <v>36400</v>
      </c>
      <c r="G650" s="51">
        <f>F650*$B$7</f>
        <v>91000</v>
      </c>
      <c r="H650" s="51">
        <f>G650-F650</f>
        <v>54600</v>
      </c>
      <c r="I650" s="52">
        <f>H650/G650</f>
        <v>0.6</v>
      </c>
      <c r="J650" s="53" t="n"/>
      <c r="K650" s="54" t="n"/>
    </row>
    <row r="651">
      <c r="A651" s="39" t="inlineStr">
        <is>
          <t>French Avenue</t>
        </is>
      </c>
      <c r="B651" s="47" t="inlineStr">
        <is>
          <t>FRENCH AVENUE COCOA MORADO EDP 100ML</t>
        </is>
      </c>
      <c r="C651" s="48" t="n">
        <v>100</v>
      </c>
      <c r="D651" s="49" t="inlineStr">
        <is>
          <t>Nicho</t>
        </is>
      </c>
      <c r="E651" s="50" t="n">
        <v>21.25</v>
      </c>
      <c r="F651" s="51">
        <f>E651*$B$5*(1+$B$6)</f>
        <v>27625</v>
      </c>
      <c r="G651" s="51">
        <f>F651*$B$7</f>
        <v>69062.5</v>
      </c>
      <c r="H651" s="51">
        <f>G651-F651</f>
        <v>41437.5</v>
      </c>
      <c r="I651" s="52">
        <f>H651/G651</f>
        <v>0.6</v>
      </c>
      <c r="J651" s="53" t="n"/>
      <c r="K651" s="54" t="n"/>
    </row>
    <row r="652">
      <c r="A652" s="39" t="inlineStr">
        <is>
          <t>French Avenue</t>
        </is>
      </c>
      <c r="B652" s="47" t="inlineStr">
        <is>
          <t>FRENCH AVENUE DIVIN AOUD EDP 100ML</t>
        </is>
      </c>
      <c r="C652" s="48" t="n">
        <v>100</v>
      </c>
      <c r="D652" s="49" t="inlineStr">
        <is>
          <t>Nicho</t>
        </is>
      </c>
      <c r="E652" s="50" t="n">
        <v>33.75</v>
      </c>
      <c r="F652" s="51">
        <f>E652*$B$5*(1+$B$6)</f>
        <v>43875</v>
      </c>
      <c r="G652" s="51">
        <f>F652*$B$7</f>
        <v>109687.5</v>
      </c>
      <c r="H652" s="51">
        <f>G652-F652</f>
        <v>65812.5</v>
      </c>
      <c r="I652" s="52">
        <f>H652/G652</f>
        <v>0.6</v>
      </c>
      <c r="J652" s="53" t="n"/>
      <c r="K652" s="54" t="n"/>
    </row>
    <row r="653">
      <c r="A653" s="39" t="inlineStr">
        <is>
          <t>French Avenue</t>
        </is>
      </c>
      <c r="B653" s="47" t="inlineStr">
        <is>
          <t>FRENCH AVENUE DIWANI CAIRO EDP 100ML</t>
        </is>
      </c>
      <c r="C653" s="48" t="n">
        <v>100</v>
      </c>
      <c r="D653" s="49" t="inlineStr">
        <is>
          <t>Nicho</t>
        </is>
      </c>
      <c r="E653" s="50" t="n">
        <v>28</v>
      </c>
      <c r="F653" s="51">
        <f>E653*$B$5*(1+$B$6)</f>
        <v>36400</v>
      </c>
      <c r="G653" s="51">
        <f>F653*$B$7</f>
        <v>91000</v>
      </c>
      <c r="H653" s="51">
        <f>G653-F653</f>
        <v>54600</v>
      </c>
      <c r="I653" s="52">
        <f>H653/G653</f>
        <v>0.6</v>
      </c>
      <c r="J653" s="53" t="n"/>
      <c r="K653" s="54" t="n"/>
    </row>
    <row r="654">
      <c r="A654" s="39" t="inlineStr">
        <is>
          <t>French Avenue</t>
        </is>
      </c>
      <c r="B654" s="47" t="inlineStr">
        <is>
          <t>FRENCH AVENUE DIWANI RABAT EDP 100ML</t>
        </is>
      </c>
      <c r="C654" s="48" t="n">
        <v>100</v>
      </c>
      <c r="D654" s="49" t="inlineStr">
        <is>
          <t>Nicho</t>
        </is>
      </c>
      <c r="E654" s="50" t="n">
        <v>28</v>
      </c>
      <c r="F654" s="51">
        <f>E654*$B$5*(1+$B$6)</f>
        <v>36400</v>
      </c>
      <c r="G654" s="51">
        <f>F654*$B$7</f>
        <v>91000</v>
      </c>
      <c r="H654" s="51">
        <f>G654-F654</f>
        <v>54600</v>
      </c>
      <c r="I654" s="52">
        <f>H654/G654</f>
        <v>0.6</v>
      </c>
      <c r="J654" s="53" t="n"/>
      <c r="K654" s="54" t="n"/>
    </row>
    <row r="655">
      <c r="A655" s="39" t="inlineStr">
        <is>
          <t>French Avenue</t>
        </is>
      </c>
      <c r="B655" s="47" t="inlineStr">
        <is>
          <t>FRENCH AVENUE FIRESTORM EDP 100ML MASC</t>
        </is>
      </c>
      <c r="C655" s="48" t="n">
        <v>100</v>
      </c>
      <c r="D655" s="49" t="inlineStr">
        <is>
          <t>Nicho</t>
        </is>
      </c>
      <c r="E655" s="50" t="n">
        <v>29</v>
      </c>
      <c r="F655" s="51">
        <f>E655*$B$5*(1+$B$6)</f>
        <v>37700</v>
      </c>
      <c r="G655" s="51">
        <f>F655*$B$7</f>
        <v>94250</v>
      </c>
      <c r="H655" s="51">
        <f>G655-F655</f>
        <v>56550</v>
      </c>
      <c r="I655" s="52">
        <f>H655/G655</f>
        <v>0.6</v>
      </c>
      <c r="J655" s="53" t="n"/>
      <c r="K655" s="54" t="n"/>
    </row>
    <row r="656">
      <c r="A656" s="39" t="inlineStr">
        <is>
          <t>French Avenue</t>
        </is>
      </c>
      <c r="B656" s="47" t="inlineStr">
        <is>
          <t>FRENCH AVENUE GENESIS AQUARIUS EDP 90ML</t>
        </is>
      </c>
      <c r="C656" s="48" t="n">
        <v>90</v>
      </c>
      <c r="D656" s="49" t="inlineStr">
        <is>
          <t>Nicho</t>
        </is>
      </c>
      <c r="E656" s="50" t="n">
        <v>28</v>
      </c>
      <c r="F656" s="51">
        <f>E656*$B$5*(1+$B$6)</f>
        <v>36400</v>
      </c>
      <c r="G656" s="51">
        <f>F656*$B$7</f>
        <v>91000</v>
      </c>
      <c r="H656" s="51">
        <f>G656-F656</f>
        <v>54600</v>
      </c>
      <c r="I656" s="52">
        <f>H656/G656</f>
        <v>0.6</v>
      </c>
      <c r="J656" s="53" t="n"/>
      <c r="K656" s="54" t="n"/>
    </row>
    <row r="657">
      <c r="A657" s="39" t="inlineStr">
        <is>
          <t>French Avenue</t>
        </is>
      </c>
      <c r="B657" s="47" t="inlineStr">
        <is>
          <t>FRENCH AVENUE GENESIS ARIES EDP 90ML</t>
        </is>
      </c>
      <c r="C657" s="48" t="n">
        <v>90</v>
      </c>
      <c r="D657" s="49" t="inlineStr">
        <is>
          <t>Nicho</t>
        </is>
      </c>
      <c r="E657" s="50" t="n">
        <v>28</v>
      </c>
      <c r="F657" s="51">
        <f>E657*$B$5*(1+$B$6)</f>
        <v>36400</v>
      </c>
      <c r="G657" s="51">
        <f>F657*$B$7</f>
        <v>91000</v>
      </c>
      <c r="H657" s="51">
        <f>G657-F657</f>
        <v>54600</v>
      </c>
      <c r="I657" s="52">
        <f>H657/G657</f>
        <v>0.6</v>
      </c>
      <c r="J657" s="53" t="n"/>
      <c r="K657" s="54" t="n"/>
    </row>
    <row r="658">
      <c r="A658" s="39" t="inlineStr">
        <is>
          <t>French Avenue</t>
        </is>
      </c>
      <c r="B658" s="47" t="inlineStr">
        <is>
          <t>FRENCH AVENUE GENESIS CAPRICORN EDP 90ML</t>
        </is>
      </c>
      <c r="C658" s="48" t="n">
        <v>90</v>
      </c>
      <c r="D658" s="49" t="inlineStr">
        <is>
          <t>Nicho</t>
        </is>
      </c>
      <c r="E658" s="50" t="n">
        <v>28</v>
      </c>
      <c r="F658" s="51">
        <f>E658*$B$5*(1+$B$6)</f>
        <v>36400</v>
      </c>
      <c r="G658" s="51">
        <f>F658*$B$7</f>
        <v>91000</v>
      </c>
      <c r="H658" s="51">
        <f>G658-F658</f>
        <v>54600</v>
      </c>
      <c r="I658" s="52">
        <f>H658/G658</f>
        <v>0.6</v>
      </c>
      <c r="J658" s="53" t="n"/>
      <c r="K658" s="54" t="n"/>
    </row>
    <row r="659">
      <c r="A659" s="39" t="inlineStr">
        <is>
          <t>French Avenue</t>
        </is>
      </c>
      <c r="B659" s="47" t="inlineStr">
        <is>
          <t>FRENCH AVENUE GENESIS GEMINI EDP 90ML</t>
        </is>
      </c>
      <c r="C659" s="48" t="n">
        <v>90</v>
      </c>
      <c r="D659" s="49" t="inlineStr">
        <is>
          <t>Nicho</t>
        </is>
      </c>
      <c r="E659" s="50" t="n">
        <v>28</v>
      </c>
      <c r="F659" s="51">
        <f>E659*$B$5*(1+$B$6)</f>
        <v>36400</v>
      </c>
      <c r="G659" s="51">
        <f>F659*$B$7</f>
        <v>91000</v>
      </c>
      <c r="H659" s="51">
        <f>G659-F659</f>
        <v>54600</v>
      </c>
      <c r="I659" s="52">
        <f>H659/G659</f>
        <v>0.6</v>
      </c>
      <c r="J659" s="53" t="n"/>
      <c r="K659" s="54" t="n"/>
    </row>
    <row r="660">
      <c r="A660" s="39" t="inlineStr">
        <is>
          <t>French Avenue</t>
        </is>
      </c>
      <c r="B660" s="47" t="inlineStr">
        <is>
          <t>FRENCH AVENUE GENESIS LEO EDP 90ML</t>
        </is>
      </c>
      <c r="C660" s="48" t="n">
        <v>90</v>
      </c>
      <c r="D660" s="49" t="inlineStr">
        <is>
          <t>Nicho</t>
        </is>
      </c>
      <c r="E660" s="50" t="n">
        <v>28</v>
      </c>
      <c r="F660" s="51">
        <f>E660*$B$5*(1+$B$6)</f>
        <v>36400</v>
      </c>
      <c r="G660" s="51">
        <f>F660*$B$7</f>
        <v>91000</v>
      </c>
      <c r="H660" s="51">
        <f>G660-F660</f>
        <v>54600</v>
      </c>
      <c r="I660" s="52">
        <f>H660/G660</f>
        <v>0.6</v>
      </c>
      <c r="J660" s="53" t="n"/>
      <c r="K660" s="54" t="n"/>
    </row>
    <row r="661">
      <c r="A661" s="39" t="inlineStr">
        <is>
          <t>French Avenue</t>
        </is>
      </c>
      <c r="B661" s="47" t="inlineStr">
        <is>
          <t>FRENCH AVENUE GENESIS LIBRA EDP 90ML</t>
        </is>
      </c>
      <c r="C661" s="48" t="n">
        <v>90</v>
      </c>
      <c r="D661" s="49" t="inlineStr">
        <is>
          <t>Nicho</t>
        </is>
      </c>
      <c r="E661" s="50" t="n">
        <v>28</v>
      </c>
      <c r="F661" s="51">
        <f>E661*$B$5*(1+$B$6)</f>
        <v>36400</v>
      </c>
      <c r="G661" s="51">
        <f>F661*$B$7</f>
        <v>91000</v>
      </c>
      <c r="H661" s="51">
        <f>G661-F661</f>
        <v>54600</v>
      </c>
      <c r="I661" s="52">
        <f>H661/G661</f>
        <v>0.6</v>
      </c>
      <c r="J661" s="53" t="n"/>
      <c r="K661" s="54" t="n"/>
    </row>
    <row r="662">
      <c r="A662" s="39" t="inlineStr">
        <is>
          <t>French Avenue</t>
        </is>
      </c>
      <c r="B662" s="47" t="inlineStr">
        <is>
          <t>FRENCH AVENUE GENESIS PISCES EDP 90ML</t>
        </is>
      </c>
      <c r="C662" s="48" t="n">
        <v>90</v>
      </c>
      <c r="D662" s="49" t="inlineStr">
        <is>
          <t>Nicho</t>
        </is>
      </c>
      <c r="E662" s="50" t="n">
        <v>28</v>
      </c>
      <c r="F662" s="51">
        <f>E662*$B$5*(1+$B$6)</f>
        <v>36400</v>
      </c>
      <c r="G662" s="51">
        <f>F662*$B$7</f>
        <v>91000</v>
      </c>
      <c r="H662" s="51">
        <f>G662-F662</f>
        <v>54600</v>
      </c>
      <c r="I662" s="52">
        <f>H662/G662</f>
        <v>0.6</v>
      </c>
      <c r="J662" s="53" t="n"/>
      <c r="K662" s="54" t="n"/>
    </row>
    <row r="663">
      <c r="A663" s="39" t="inlineStr">
        <is>
          <t>French Avenue</t>
        </is>
      </c>
      <c r="B663" s="47" t="inlineStr">
        <is>
          <t>FRENCH AVENUE GENESIS SAGITTARIUS EDP 90ML</t>
        </is>
      </c>
      <c r="C663" s="48" t="n">
        <v>90</v>
      </c>
      <c r="D663" s="49" t="inlineStr">
        <is>
          <t>Nicho</t>
        </is>
      </c>
      <c r="E663" s="50" t="n">
        <v>28</v>
      </c>
      <c r="F663" s="51">
        <f>E663*$B$5*(1+$B$6)</f>
        <v>36400</v>
      </c>
      <c r="G663" s="51">
        <f>F663*$B$7</f>
        <v>91000</v>
      </c>
      <c r="H663" s="51">
        <f>G663-F663</f>
        <v>54600</v>
      </c>
      <c r="I663" s="52">
        <f>H663/G663</f>
        <v>0.6</v>
      </c>
      <c r="J663" s="53" t="n"/>
      <c r="K663" s="54" t="n"/>
    </row>
    <row r="664">
      <c r="A664" s="39" t="inlineStr">
        <is>
          <t>French Avenue</t>
        </is>
      </c>
      <c r="B664" s="47" t="inlineStr">
        <is>
          <t>FRENCH AVENUE GENESIS VIRGO EDP 90ML</t>
        </is>
      </c>
      <c r="C664" s="48" t="n">
        <v>90</v>
      </c>
      <c r="D664" s="49" t="inlineStr">
        <is>
          <t>Nicho</t>
        </is>
      </c>
      <c r="E664" s="50" t="n">
        <v>28</v>
      </c>
      <c r="F664" s="51">
        <f>E664*$B$5*(1+$B$6)</f>
        <v>36400</v>
      </c>
      <c r="G664" s="51">
        <f>F664*$B$7</f>
        <v>91000</v>
      </c>
      <c r="H664" s="51">
        <f>G664-F664</f>
        <v>54600</v>
      </c>
      <c r="I664" s="52">
        <f>H664/G664</f>
        <v>0.6</v>
      </c>
      <c r="J664" s="53" t="n"/>
      <c r="K664" s="54" t="n"/>
    </row>
    <row r="665">
      <c r="A665" s="39" t="inlineStr">
        <is>
          <t>French Avenue</t>
        </is>
      </c>
      <c r="B665" s="47" t="inlineStr">
        <is>
          <t>FRENCH AVENUE LIQUID BRUN EDP 100ML MASC</t>
        </is>
      </c>
      <c r="C665" s="48" t="n">
        <v>100</v>
      </c>
      <c r="D665" s="49" t="inlineStr">
        <is>
          <t>Nicho</t>
        </is>
      </c>
      <c r="E665" s="50" t="n">
        <v>32.5</v>
      </c>
      <c r="F665" s="51">
        <f>E665*$B$5*(1+$B$6)</f>
        <v>42250</v>
      </c>
      <c r="G665" s="51">
        <f>F665*$B$7</f>
        <v>105625</v>
      </c>
      <c r="H665" s="51">
        <f>G665-F665</f>
        <v>63375</v>
      </c>
      <c r="I665" s="52">
        <f>H665/G665</f>
        <v>0.6</v>
      </c>
      <c r="J665" s="53" t="n"/>
      <c r="K665" s="54" t="n"/>
    </row>
    <row r="666">
      <c r="A666" s="39" t="inlineStr">
        <is>
          <t>French Avenue</t>
        </is>
      </c>
      <c r="B666" s="47" t="inlineStr">
        <is>
          <t>FRENCH AVENUE LUSCIOUS EDP 100ML FEM</t>
        </is>
      </c>
      <c r="C666" s="48" t="n">
        <v>100</v>
      </c>
      <c r="D666" s="49" t="inlineStr">
        <is>
          <t>Nicho</t>
        </is>
      </c>
      <c r="E666" s="50" t="n">
        <v>23</v>
      </c>
      <c r="F666" s="51">
        <f>E666*$B$5*(1+$B$6)</f>
        <v>29900</v>
      </c>
      <c r="G666" s="51">
        <f>F666*$B$7</f>
        <v>74750</v>
      </c>
      <c r="H666" s="51">
        <f>G666-F666</f>
        <v>44850</v>
      </c>
      <c r="I666" s="52">
        <f>H666/G666</f>
        <v>0.6</v>
      </c>
      <c r="J666" s="53" t="n"/>
      <c r="K666" s="54" t="n"/>
    </row>
    <row r="667">
      <c r="A667" s="39" t="inlineStr">
        <is>
          <t>French Avenue</t>
        </is>
      </c>
      <c r="B667" s="47" t="inlineStr">
        <is>
          <t>FRENCH AVENUE MERINGUE EDP 100ML FEM</t>
        </is>
      </c>
      <c r="C667" s="48" t="n">
        <v>100</v>
      </c>
      <c r="D667" s="49" t="inlineStr">
        <is>
          <t>Nicho</t>
        </is>
      </c>
      <c r="E667" s="50" t="n">
        <v>22.75</v>
      </c>
      <c r="F667" s="51">
        <f>E667*$B$5*(1+$B$6)</f>
        <v>29575</v>
      </c>
      <c r="G667" s="51">
        <f>F667*$B$7</f>
        <v>73937.5</v>
      </c>
      <c r="H667" s="51">
        <f>G667-F667</f>
        <v>44362.5</v>
      </c>
      <c r="I667" s="52">
        <f>H667/G667</f>
        <v>0.6</v>
      </c>
      <c r="J667" s="53" t="n"/>
      <c r="K667" s="54" t="n"/>
    </row>
    <row r="668">
      <c r="A668" s="39" t="inlineStr">
        <is>
          <t>French Avenue</t>
        </is>
      </c>
      <c r="B668" s="47" t="inlineStr">
        <is>
          <t>FRENCH AVENUE PINNACE ORYN EDP 100ML</t>
        </is>
      </c>
      <c r="C668" s="48" t="n">
        <v>100</v>
      </c>
      <c r="D668" s="49" t="inlineStr">
        <is>
          <t>Nicho</t>
        </is>
      </c>
      <c r="E668" s="50" t="n">
        <v>32</v>
      </c>
      <c r="F668" s="51">
        <f>E668*$B$5*(1+$B$6)</f>
        <v>41600</v>
      </c>
      <c r="G668" s="51">
        <f>F668*$B$7</f>
        <v>104000</v>
      </c>
      <c r="H668" s="51">
        <f>G668-F668</f>
        <v>62400</v>
      </c>
      <c r="I668" s="52">
        <f>H668/G668</f>
        <v>0.6</v>
      </c>
      <c r="J668" s="53" t="n"/>
      <c r="K668" s="54" t="n"/>
    </row>
    <row r="669">
      <c r="A669" s="39" t="inlineStr">
        <is>
          <t>French Avenue</t>
        </is>
      </c>
      <c r="B669" s="47" t="inlineStr">
        <is>
          <t>FRENCH AVENUE ROYAL BLEND EXTRAIT DE PARFUM 100ML</t>
        </is>
      </c>
      <c r="C669" s="48" t="n">
        <v>100</v>
      </c>
      <c r="D669" s="49" t="inlineStr">
        <is>
          <t>Nicho</t>
        </is>
      </c>
      <c r="E669" s="50" t="n">
        <v>24.75</v>
      </c>
      <c r="F669" s="51">
        <f>E669*$B$5*(1+$B$6)</f>
        <v>32175</v>
      </c>
      <c r="G669" s="51">
        <f>F669*$B$7</f>
        <v>80437.5</v>
      </c>
      <c r="H669" s="51">
        <f>G669-F669</f>
        <v>48262.5</v>
      </c>
      <c r="I669" s="52">
        <f>H669/G669</f>
        <v>0.6</v>
      </c>
      <c r="J669" s="53" t="n"/>
      <c r="K669" s="54" t="n"/>
    </row>
    <row r="670">
      <c r="A670" s="39" t="inlineStr">
        <is>
          <t>French Avenue</t>
        </is>
      </c>
      <c r="B670" s="47" t="inlineStr">
        <is>
          <t>FRENCH AVENUE ROYAL BLEND NERO EXTRAIT DE PARFUM 100ML</t>
        </is>
      </c>
      <c r="C670" s="48" t="n">
        <v>100</v>
      </c>
      <c r="D670" s="49" t="inlineStr">
        <is>
          <t>Nicho</t>
        </is>
      </c>
      <c r="E670" s="50" t="n">
        <v>22.75</v>
      </c>
      <c r="F670" s="51">
        <f>E670*$B$5*(1+$B$6)</f>
        <v>29575</v>
      </c>
      <c r="G670" s="51">
        <f>F670*$B$7</f>
        <v>73937.5</v>
      </c>
      <c r="H670" s="51">
        <f>G670-F670</f>
        <v>44362.5</v>
      </c>
      <c r="I670" s="52">
        <f>H670/G670</f>
        <v>0.6</v>
      </c>
      <c r="J670" s="53" t="n"/>
      <c r="K670" s="54" t="n"/>
    </row>
    <row r="671">
      <c r="A671" s="39" t="inlineStr">
        <is>
          <t>French Avenue</t>
        </is>
      </c>
      <c r="B671" s="47" t="inlineStr">
        <is>
          <t>FRENCH AVENUE SWEET PARADISE EDP 100ML</t>
        </is>
      </c>
      <c r="C671" s="48" t="n">
        <v>100</v>
      </c>
      <c r="D671" s="49" t="inlineStr">
        <is>
          <t>Nicho</t>
        </is>
      </c>
      <c r="E671" s="50" t="n">
        <v>24</v>
      </c>
      <c r="F671" s="51">
        <f>E671*$B$5*(1+$B$6)</f>
        <v>31200</v>
      </c>
      <c r="G671" s="51">
        <f>F671*$B$7</f>
        <v>78000</v>
      </c>
      <c r="H671" s="51">
        <f>G671-F671</f>
        <v>46800</v>
      </c>
      <c r="I671" s="52">
        <f>H671/G671</f>
        <v>0.6</v>
      </c>
      <c r="J671" s="53" t="n"/>
      <c r="K671" s="54" t="n"/>
    </row>
    <row r="672">
      <c r="A672" s="39" t="inlineStr">
        <is>
          <t>French Avenue</t>
        </is>
      </c>
      <c r="B672" s="47" t="inlineStr">
        <is>
          <t>FRENCH AVENUE TROPICAL KISS EDP 80ML</t>
        </is>
      </c>
      <c r="C672" s="48" t="n">
        <v>80</v>
      </c>
      <c r="D672" s="49" t="inlineStr">
        <is>
          <t>Nicho</t>
        </is>
      </c>
      <c r="E672" s="50" t="n">
        <v>23.9</v>
      </c>
      <c r="F672" s="51">
        <f>E672*$B$5*(1+$B$6)</f>
        <v>31070</v>
      </c>
      <c r="G672" s="51">
        <f>F672*$B$7</f>
        <v>77675</v>
      </c>
      <c r="H672" s="51">
        <f>G672-F672</f>
        <v>46605</v>
      </c>
      <c r="I672" s="52">
        <f>H672/G672</f>
        <v>0.6</v>
      </c>
      <c r="J672" s="53" t="n"/>
      <c r="K672" s="54" t="n"/>
    </row>
    <row r="673">
      <c r="A673" s="39" t="inlineStr">
        <is>
          <t>French Avenue</t>
        </is>
      </c>
      <c r="B673" s="47" t="inlineStr">
        <is>
          <t>FRENCH AVENUE VENENO (BLACK) EDP 100ML</t>
        </is>
      </c>
      <c r="C673" s="48" t="n">
        <v>100</v>
      </c>
      <c r="D673" s="49" t="inlineStr">
        <is>
          <t>Nicho</t>
        </is>
      </c>
      <c r="E673" s="50" t="n">
        <v>32.5</v>
      </c>
      <c r="F673" s="51">
        <f>E673*$B$5*(1+$B$6)</f>
        <v>42250</v>
      </c>
      <c r="G673" s="51">
        <f>F673*$B$7</f>
        <v>105625</v>
      </c>
      <c r="H673" s="51">
        <f>G673-F673</f>
        <v>63375</v>
      </c>
      <c r="I673" s="52">
        <f>H673/G673</f>
        <v>0.6</v>
      </c>
      <c r="J673" s="53" t="n"/>
      <c r="K673" s="54" t="n"/>
    </row>
    <row r="674">
      <c r="A674" s="39" t="inlineStr">
        <is>
          <t>French Avenue</t>
        </is>
      </c>
      <c r="B674" s="47" t="inlineStr">
        <is>
          <t>FRENCH AVENUE VENENO BIANCO EDP 100ML</t>
        </is>
      </c>
      <c r="C674" s="48" t="n">
        <v>100</v>
      </c>
      <c r="D674" s="49" t="inlineStr">
        <is>
          <t>Nicho</t>
        </is>
      </c>
      <c r="E674" s="50" t="n">
        <v>31.5</v>
      </c>
      <c r="F674" s="51">
        <f>E674*$B$5*(1+$B$6)</f>
        <v>40950</v>
      </c>
      <c r="G674" s="51">
        <f>F674*$B$7</f>
        <v>102375</v>
      </c>
      <c r="H674" s="51">
        <f>G674-F674</f>
        <v>61425</v>
      </c>
      <c r="I674" s="52">
        <f>H674/G674</f>
        <v>0.6</v>
      </c>
      <c r="J674" s="53" t="n"/>
      <c r="K674" s="54" t="n"/>
    </row>
    <row r="675">
      <c r="A675" s="39" t="inlineStr">
        <is>
          <t>French Avenue</t>
        </is>
      </c>
      <c r="B675" s="47" t="inlineStr">
        <is>
          <t>FRENCH AVENUE VENENO SCARLET EDP 100ML</t>
        </is>
      </c>
      <c r="C675" s="48" t="n">
        <v>100</v>
      </c>
      <c r="D675" s="49" t="inlineStr">
        <is>
          <t>Nicho</t>
        </is>
      </c>
      <c r="E675" s="50" t="n">
        <v>32</v>
      </c>
      <c r="F675" s="51">
        <f>E675*$B$5*(1+$B$6)</f>
        <v>41600</v>
      </c>
      <c r="G675" s="51">
        <f>F675*$B$7</f>
        <v>104000</v>
      </c>
      <c r="H675" s="51">
        <f>G675-F675</f>
        <v>62400</v>
      </c>
      <c r="I675" s="52">
        <f>H675/G675</f>
        <v>0.6</v>
      </c>
      <c r="J675" s="53" t="n"/>
      <c r="K675" s="54" t="n"/>
    </row>
    <row r="676">
      <c r="A676" s="39" t="inlineStr">
        <is>
          <t>French Avenue</t>
        </is>
      </c>
      <c r="B676" s="47" t="inlineStr">
        <is>
          <t>FRENCH AVENUE VULCAN BAIE EDP 100ML</t>
        </is>
      </c>
      <c r="C676" s="48" t="n">
        <v>100</v>
      </c>
      <c r="D676" s="49" t="inlineStr">
        <is>
          <t>Nicho</t>
        </is>
      </c>
      <c r="E676" s="50" t="n">
        <v>24.5</v>
      </c>
      <c r="F676" s="51">
        <f>E676*$B$5*(1+$B$6)</f>
        <v>31850</v>
      </c>
      <c r="G676" s="51">
        <f>F676*$B$7</f>
        <v>79625</v>
      </c>
      <c r="H676" s="51">
        <f>G676-F676</f>
        <v>47775</v>
      </c>
      <c r="I676" s="52">
        <f>H676/G676</f>
        <v>0.6</v>
      </c>
      <c r="J676" s="53" t="n"/>
      <c r="K676" s="54" t="n"/>
    </row>
    <row r="677">
      <c r="A677" s="39" t="inlineStr">
        <is>
          <t>French Avenue</t>
        </is>
      </c>
      <c r="B677" s="47" t="inlineStr">
        <is>
          <t>FRENCH AVENUE VULCAN FEU EDP 100ML</t>
        </is>
      </c>
      <c r="C677" s="48" t="n">
        <v>100</v>
      </c>
      <c r="D677" s="49" t="inlineStr">
        <is>
          <t>Nicho</t>
        </is>
      </c>
      <c r="E677" s="50" t="n">
        <v>34.25</v>
      </c>
      <c r="F677" s="51">
        <f>E677*$B$5*(1+$B$6)</f>
        <v>44525</v>
      </c>
      <c r="G677" s="51">
        <f>F677*$B$7</f>
        <v>111312.5</v>
      </c>
      <c r="H677" s="51">
        <f>G677-F677</f>
        <v>66787.5</v>
      </c>
      <c r="I677" s="52">
        <f>H677/G677</f>
        <v>0.6</v>
      </c>
      <c r="J677" s="53" t="n"/>
      <c r="K677" s="54" t="n"/>
    </row>
    <row r="678">
      <c r="A678" s="39" t="inlineStr">
        <is>
          <t>French Avenue</t>
        </is>
      </c>
      <c r="B678" s="47" t="inlineStr">
        <is>
          <t>Irida EXDP</t>
        </is>
      </c>
      <c r="C678" s="48" t="n">
        <v>100</v>
      </c>
      <c r="D678" s="49" t="inlineStr">
        <is>
          <t>Nicho</t>
        </is>
      </c>
      <c r="E678" s="50" t="n">
        <v>35</v>
      </c>
      <c r="F678" s="51">
        <f>E678*$B$5*(1+$B$6)</f>
        <v>45500</v>
      </c>
      <c r="G678" s="51">
        <f>F678*$B$7</f>
        <v>113750</v>
      </c>
      <c r="H678" s="51">
        <f>G678-F678</f>
        <v>68250</v>
      </c>
      <c r="I678" s="52">
        <f>H678/G678</f>
        <v>0.6</v>
      </c>
      <c r="J678" s="53" t="n"/>
      <c r="K678" s="54" t="inlineStr">
        <is>
          <t>Clon nicho</t>
        </is>
      </c>
    </row>
    <row r="679">
      <c r="A679" s="39" t="inlineStr">
        <is>
          <t>Gabriela Sabatini</t>
        </is>
      </c>
      <c r="B679" s="47" t="inlineStr">
        <is>
          <t>GABRIELA SABATINI EDT 60ML</t>
        </is>
      </c>
      <c r="C679" s="48" t="n">
        <v>60</v>
      </c>
      <c r="D679" s="49" t="inlineStr">
        <is>
          <t>Diseñador</t>
        </is>
      </c>
      <c r="E679" s="50" t="n">
        <v>10</v>
      </c>
      <c r="F679" s="51">
        <f>E679*$B$5*(1+$B$6)</f>
        <v>13000</v>
      </c>
      <c r="G679" s="51">
        <f>F679*$B$7</f>
        <v>32500</v>
      </c>
      <c r="H679" s="51">
        <f>G679-F679</f>
        <v>19500</v>
      </c>
      <c r="I679" s="52">
        <f>H679/G679</f>
        <v>0.6</v>
      </c>
      <c r="J679" s="53" t="n"/>
      <c r="K679" s="54" t="n"/>
    </row>
    <row r="680">
      <c r="A680" s="39" t="inlineStr">
        <is>
          <t>Giorgio Armani</t>
        </is>
      </c>
      <c r="B680" s="47" t="inlineStr">
        <is>
          <t>ARMANI ACQUA DI GIO EDP 125ML MASC</t>
        </is>
      </c>
      <c r="C680" s="48" t="n">
        <v>125</v>
      </c>
      <c r="D680" s="49" t="inlineStr">
        <is>
          <t>Diseñador</t>
        </is>
      </c>
      <c r="E680" s="50" t="n">
        <v>88</v>
      </c>
      <c r="F680" s="51">
        <f>E680*$B$5*(1+$B$6)</f>
        <v>114400</v>
      </c>
      <c r="G680" s="51">
        <f>F680*$B$7</f>
        <v>286000</v>
      </c>
      <c r="H680" s="51">
        <f>G680-F680</f>
        <v>171600</v>
      </c>
      <c r="I680" s="52">
        <f>H680/G680</f>
        <v>0.6</v>
      </c>
      <c r="J680" s="53" t="n"/>
      <c r="K680" s="54" t="n"/>
    </row>
    <row r="681">
      <c r="A681" s="39" t="inlineStr">
        <is>
          <t>Giorgio Armani</t>
        </is>
      </c>
      <c r="B681" s="47" t="inlineStr">
        <is>
          <t>ARMANI ACQUA DI GIO EDP 75ML</t>
        </is>
      </c>
      <c r="C681" s="48" t="n">
        <v>75</v>
      </c>
      <c r="D681" s="49" t="inlineStr">
        <is>
          <t>Diseñador</t>
        </is>
      </c>
      <c r="E681" s="50" t="n">
        <v>68</v>
      </c>
      <c r="F681" s="51">
        <f>E681*$B$5*(1+$B$6)</f>
        <v>88400</v>
      </c>
      <c r="G681" s="51">
        <f>F681*$B$7</f>
        <v>221000</v>
      </c>
      <c r="H681" s="51">
        <f>G681-F681</f>
        <v>132600</v>
      </c>
      <c r="I681" s="52">
        <f>H681/G681</f>
        <v>0.6</v>
      </c>
      <c r="J681" s="53" t="n"/>
      <c r="K681" s="54" t="n"/>
    </row>
    <row r="682">
      <c r="A682" s="39" t="inlineStr">
        <is>
          <t>Giorgio Armani</t>
        </is>
      </c>
      <c r="B682" s="47" t="inlineStr">
        <is>
          <t>ARMANI ACQUA DI GIO EDT 100ML FEM</t>
        </is>
      </c>
      <c r="C682" s="48" t="n">
        <v>100</v>
      </c>
      <c r="D682" s="49" t="inlineStr">
        <is>
          <t>Diseñador</t>
        </is>
      </c>
      <c r="E682" s="50" t="n">
        <v>72</v>
      </c>
      <c r="F682" s="51">
        <f>E682*$B$5*(1+$B$6)</f>
        <v>93600</v>
      </c>
      <c r="G682" s="51">
        <f>F682*$B$7</f>
        <v>234000</v>
      </c>
      <c r="H682" s="51">
        <f>G682-F682</f>
        <v>140400</v>
      </c>
      <c r="I682" s="52">
        <f>H682/G682</f>
        <v>0.6</v>
      </c>
      <c r="J682" s="53" t="n"/>
      <c r="K682" s="54" t="n"/>
    </row>
    <row r="683">
      <c r="A683" s="39" t="inlineStr">
        <is>
          <t>Giorgio Armani</t>
        </is>
      </c>
      <c r="B683" s="47" t="inlineStr">
        <is>
          <t>ARMANI ACQUA DI GIO EDT 100ML MASC</t>
        </is>
      </c>
      <c r="C683" s="48" t="n">
        <v>100</v>
      </c>
      <c r="D683" s="49" t="inlineStr">
        <is>
          <t>Diseñador</t>
        </is>
      </c>
      <c r="E683" s="50" t="n">
        <v>57</v>
      </c>
      <c r="F683" s="51">
        <f>E683*$B$5*(1+$B$6)</f>
        <v>74100</v>
      </c>
      <c r="G683" s="51">
        <f>F683*$B$7</f>
        <v>185250</v>
      </c>
      <c r="H683" s="51">
        <f>G683-F683</f>
        <v>111150</v>
      </c>
      <c r="I683" s="52">
        <f>H683/G683</f>
        <v>0.6</v>
      </c>
      <c r="J683" s="53" t="n"/>
      <c r="K683" s="54" t="n"/>
    </row>
    <row r="684">
      <c r="A684" s="39" t="inlineStr">
        <is>
          <t>Giorgio Armani</t>
        </is>
      </c>
      <c r="B684" s="47" t="inlineStr">
        <is>
          <t>ARMANI ACQUA DI GIO ELIXIR 50ML</t>
        </is>
      </c>
      <c r="C684" s="48" t="n">
        <v>50</v>
      </c>
      <c r="D684" s="49" t="inlineStr">
        <is>
          <t>Diseñador</t>
        </is>
      </c>
      <c r="E684" s="50" t="n">
        <v>95</v>
      </c>
      <c r="F684" s="51">
        <f>E684*$B$5*(1+$B$6)</f>
        <v>123500</v>
      </c>
      <c r="G684" s="51">
        <f>F684*$B$7</f>
        <v>308750</v>
      </c>
      <c r="H684" s="51">
        <f>G684-F684</f>
        <v>185250</v>
      </c>
      <c r="I684" s="52">
        <f>H684/G684</f>
        <v>0.6</v>
      </c>
      <c r="J684" s="53" t="n"/>
      <c r="K684" s="54" t="n"/>
    </row>
    <row r="685">
      <c r="A685" s="39" t="inlineStr">
        <is>
          <t>Giorgio Armani</t>
        </is>
      </c>
      <c r="B685" s="47" t="inlineStr">
        <is>
          <t>ARMANI ACQUA DI GIO PARFUM 125ML</t>
        </is>
      </c>
      <c r="C685" s="48" t="n">
        <v>125</v>
      </c>
      <c r="D685" s="49" t="inlineStr">
        <is>
          <t>Diseñador</t>
        </is>
      </c>
      <c r="E685" s="50" t="n">
        <v>105</v>
      </c>
      <c r="F685" s="51">
        <f>E685*$B$5*(1+$B$6)</f>
        <v>136500</v>
      </c>
      <c r="G685" s="51">
        <f>F685*$B$7</f>
        <v>341250</v>
      </c>
      <c r="H685" s="51">
        <f>G685-F685</f>
        <v>204750</v>
      </c>
      <c r="I685" s="52">
        <f>H685/G685</f>
        <v>0.6</v>
      </c>
      <c r="J685" s="53" t="n"/>
      <c r="K685" s="54" t="n"/>
    </row>
    <row r="686">
      <c r="A686" s="39" t="inlineStr">
        <is>
          <t>Giorgio Armani</t>
        </is>
      </c>
      <c r="B686" s="47" t="inlineStr">
        <is>
          <t>ARMANI ACQUA DI GIO PARFUM 75ML</t>
        </is>
      </c>
      <c r="C686" s="48" t="n">
        <v>75</v>
      </c>
      <c r="D686" s="49" t="inlineStr">
        <is>
          <t>Diseñador</t>
        </is>
      </c>
      <c r="E686" s="50" t="n">
        <v>92</v>
      </c>
      <c r="F686" s="51">
        <f>E686*$B$5*(1+$B$6)</f>
        <v>119600</v>
      </c>
      <c r="G686" s="51">
        <f>F686*$B$7</f>
        <v>299000</v>
      </c>
      <c r="H686" s="51">
        <f>G686-F686</f>
        <v>179400</v>
      </c>
      <c r="I686" s="52">
        <f>H686/G686</f>
        <v>0.6</v>
      </c>
      <c r="J686" s="53" t="n"/>
      <c r="K686" s="54" t="n"/>
    </row>
    <row r="687">
      <c r="A687" s="39" t="inlineStr">
        <is>
          <t>Giorgio Armani</t>
        </is>
      </c>
      <c r="B687" s="47" t="inlineStr">
        <is>
          <t>ARMANI ACQUA DI GIO PROFONDO EDP 100ML</t>
        </is>
      </c>
      <c r="C687" s="48" t="n">
        <v>100</v>
      </c>
      <c r="D687" s="49" t="inlineStr">
        <is>
          <t>Diseñador</t>
        </is>
      </c>
      <c r="E687" s="50" t="n">
        <v>80</v>
      </c>
      <c r="F687" s="51">
        <f>E687*$B$5*(1+$B$6)</f>
        <v>104000</v>
      </c>
      <c r="G687" s="51">
        <f>F687*$B$7</f>
        <v>260000</v>
      </c>
      <c r="H687" s="51">
        <f>G687-F687</f>
        <v>156000</v>
      </c>
      <c r="I687" s="52">
        <f>H687/G687</f>
        <v>0.6</v>
      </c>
      <c r="J687" s="53" t="n"/>
      <c r="K687" s="54" t="n"/>
    </row>
    <row r="688">
      <c r="A688" s="39" t="inlineStr">
        <is>
          <t>Giorgio Armani</t>
        </is>
      </c>
      <c r="B688" s="47" t="inlineStr">
        <is>
          <t>ARMANI ACQUA DI GIO PROFONDO EDP 50ML</t>
        </is>
      </c>
      <c r="C688" s="48" t="n">
        <v>50</v>
      </c>
      <c r="D688" s="49" t="inlineStr">
        <is>
          <t>Diseñador</t>
        </is>
      </c>
      <c r="E688" s="50" t="n">
        <v>70</v>
      </c>
      <c r="F688" s="51">
        <f>E688*$B$5*(1+$B$6)</f>
        <v>91000</v>
      </c>
      <c r="G688" s="51">
        <f>F688*$B$7</f>
        <v>227500</v>
      </c>
      <c r="H688" s="51">
        <f>G688-F688</f>
        <v>136500</v>
      </c>
      <c r="I688" s="52">
        <f>H688/G688</f>
        <v>0.6</v>
      </c>
      <c r="J688" s="53" t="n"/>
      <c r="K688" s="54" t="n"/>
    </row>
    <row r="689">
      <c r="A689" s="39" t="inlineStr">
        <is>
          <t>Giorgio Armani</t>
        </is>
      </c>
      <c r="B689" s="47" t="inlineStr">
        <is>
          <t>ARMANI ACQUA DI GIO PROFONDO EDT 100ML</t>
        </is>
      </c>
      <c r="C689" s="48" t="n">
        <v>100</v>
      </c>
      <c r="D689" s="49" t="inlineStr">
        <is>
          <t>Diseñador</t>
        </is>
      </c>
      <c r="E689" s="50" t="n">
        <v>78.5</v>
      </c>
      <c r="F689" s="51">
        <f>E689*$B$5*(1+$B$6)</f>
        <v>102050</v>
      </c>
      <c r="G689" s="51">
        <f>F689*$B$7</f>
        <v>255125</v>
      </c>
      <c r="H689" s="51">
        <f>G689-F689</f>
        <v>153075</v>
      </c>
      <c r="I689" s="52">
        <f>H689/G689</f>
        <v>0.6</v>
      </c>
      <c r="J689" s="53" t="n"/>
      <c r="K689" s="54" t="n"/>
    </row>
    <row r="690">
      <c r="A690" s="39" t="inlineStr">
        <is>
          <t>Giorgio Armani</t>
        </is>
      </c>
      <c r="B690" s="47" t="inlineStr">
        <is>
          <t>ARMANI ACQUA DI GIO PROFONDO EDT 50ML</t>
        </is>
      </c>
      <c r="C690" s="48" t="n">
        <v>50</v>
      </c>
      <c r="D690" s="49" t="inlineStr">
        <is>
          <t>Diseñador</t>
        </is>
      </c>
      <c r="E690" s="50" t="n">
        <v>62</v>
      </c>
      <c r="F690" s="51">
        <f>E690*$B$5*(1+$B$6)</f>
        <v>80600</v>
      </c>
      <c r="G690" s="51">
        <f>F690*$B$7</f>
        <v>201500</v>
      </c>
      <c r="H690" s="51">
        <f>G690-F690</f>
        <v>120900</v>
      </c>
      <c r="I690" s="52">
        <f>H690/G690</f>
        <v>0.6</v>
      </c>
      <c r="J690" s="53" t="n"/>
      <c r="K690" s="54" t="n"/>
    </row>
    <row r="691">
      <c r="A691" s="39" t="inlineStr">
        <is>
          <t>Giorgio Armani</t>
        </is>
      </c>
      <c r="B691" s="47" t="inlineStr">
        <is>
          <t>ARMANI ACQUA DI GIOIA EDP 100ML FEM</t>
        </is>
      </c>
      <c r="C691" s="48" t="n">
        <v>100</v>
      </c>
      <c r="D691" s="49" t="inlineStr">
        <is>
          <t>Diseñador</t>
        </is>
      </c>
      <c r="E691" s="50" t="n">
        <v>79</v>
      </c>
      <c r="F691" s="51">
        <f>E691*$B$5*(1+$B$6)</f>
        <v>102700</v>
      </c>
      <c r="G691" s="51">
        <f>F691*$B$7</f>
        <v>256750</v>
      </c>
      <c r="H691" s="51">
        <f>G691-F691</f>
        <v>154050</v>
      </c>
      <c r="I691" s="52">
        <f>H691/G691</f>
        <v>0.6</v>
      </c>
      <c r="J691" s="53" t="n"/>
      <c r="K691" s="54" t="n"/>
    </row>
    <row r="692">
      <c r="A692" s="39" t="inlineStr">
        <is>
          <t>Giorgio Armani</t>
        </is>
      </c>
      <c r="B692" s="47" t="inlineStr">
        <is>
          <t>ARMANI ACQUA DI GIOIA EDP 50ML FEM</t>
        </is>
      </c>
      <c r="C692" s="48" t="n">
        <v>50</v>
      </c>
      <c r="D692" s="49" t="inlineStr">
        <is>
          <t>Diseñador</t>
        </is>
      </c>
      <c r="E692" s="50" t="n">
        <v>67</v>
      </c>
      <c r="F692" s="51">
        <f>E692*$B$5*(1+$B$6)</f>
        <v>87100</v>
      </c>
      <c r="G692" s="51">
        <f>F692*$B$7</f>
        <v>217750</v>
      </c>
      <c r="H692" s="51">
        <f>G692-F692</f>
        <v>130650</v>
      </c>
      <c r="I692" s="52">
        <f>H692/G692</f>
        <v>0.6</v>
      </c>
      <c r="J692" s="53" t="n"/>
      <c r="K692" s="54" t="n"/>
    </row>
    <row r="693">
      <c r="A693" s="39" t="inlineStr">
        <is>
          <t>Giorgio Armani</t>
        </is>
      </c>
      <c r="B693" s="47" t="inlineStr">
        <is>
          <t>ARMANI ACQUA DI GIOIA EDP INTENSE 100ML FEM</t>
        </is>
      </c>
      <c r="C693" s="48" t="n">
        <v>100</v>
      </c>
      <c r="D693" s="49" t="inlineStr">
        <is>
          <t>Diseñador</t>
        </is>
      </c>
      <c r="E693" s="50" t="n">
        <v>88</v>
      </c>
      <c r="F693" s="51">
        <f>E693*$B$5*(1+$B$6)</f>
        <v>114400</v>
      </c>
      <c r="G693" s="51">
        <f>F693*$B$7</f>
        <v>286000</v>
      </c>
      <c r="H693" s="51">
        <f>G693-F693</f>
        <v>171600</v>
      </c>
      <c r="I693" s="52">
        <f>H693/G693</f>
        <v>0.6</v>
      </c>
      <c r="J693" s="53" t="n"/>
      <c r="K693" s="54" t="n"/>
    </row>
    <row r="694">
      <c r="A694" s="39" t="inlineStr">
        <is>
          <t>Giorgio Armani</t>
        </is>
      </c>
      <c r="B694" s="47" t="inlineStr">
        <is>
          <t>ARMANI CODE EDP 75ML FEMININO</t>
        </is>
      </c>
      <c r="C694" s="48" t="n">
        <v>75</v>
      </c>
      <c r="D694" s="49" t="inlineStr">
        <is>
          <t>Diseñador</t>
        </is>
      </c>
      <c r="E694" s="50" t="n">
        <v>78.5</v>
      </c>
      <c r="F694" s="51">
        <f>E694*$B$5*(1+$B$6)</f>
        <v>102050</v>
      </c>
      <c r="G694" s="51">
        <f>F694*$B$7</f>
        <v>255125</v>
      </c>
      <c r="H694" s="51">
        <f>G694-F694</f>
        <v>153075</v>
      </c>
      <c r="I694" s="52">
        <f>H694/G694</f>
        <v>0.6</v>
      </c>
      <c r="J694" s="53" t="n"/>
      <c r="K694" s="54" t="n"/>
    </row>
    <row r="695">
      <c r="A695" s="39" t="inlineStr">
        <is>
          <t>Giorgio Armani</t>
        </is>
      </c>
      <c r="B695" s="47" t="inlineStr">
        <is>
          <t>ARMANI CODE EDT 125ML MASCULINO</t>
        </is>
      </c>
      <c r="C695" s="48" t="n">
        <v>125</v>
      </c>
      <c r="D695" s="49" t="inlineStr">
        <is>
          <t>Diseñador</t>
        </is>
      </c>
      <c r="E695" s="50" t="n">
        <v>70.5</v>
      </c>
      <c r="F695" s="51">
        <f>E695*$B$5*(1+$B$6)</f>
        <v>91650</v>
      </c>
      <c r="G695" s="51">
        <f>F695*$B$7</f>
        <v>229125</v>
      </c>
      <c r="H695" s="51">
        <f>G695-F695</f>
        <v>137475</v>
      </c>
      <c r="I695" s="52">
        <f>H695/G695</f>
        <v>0.6</v>
      </c>
      <c r="J695" s="53" t="n"/>
      <c r="K695" s="54" t="n"/>
    </row>
    <row r="696">
      <c r="A696" s="39" t="inlineStr">
        <is>
          <t>Giorgio Armani</t>
        </is>
      </c>
      <c r="B696" s="47" t="inlineStr">
        <is>
          <t>ARMANI CODE PARFUM 75ML MASC</t>
        </is>
      </c>
      <c r="C696" s="48" t="n">
        <v>75</v>
      </c>
      <c r="D696" s="49" t="inlineStr">
        <is>
          <t>Diseñador</t>
        </is>
      </c>
      <c r="E696" s="50" t="n">
        <v>74</v>
      </c>
      <c r="F696" s="51">
        <f>E696*$B$5*(1+$B$6)</f>
        <v>96200</v>
      </c>
      <c r="G696" s="51">
        <f>F696*$B$7</f>
        <v>240500</v>
      </c>
      <c r="H696" s="51">
        <f>G696-F696</f>
        <v>144300</v>
      </c>
      <c r="I696" s="52">
        <f>H696/G696</f>
        <v>0.6</v>
      </c>
      <c r="J696" s="53" t="n"/>
      <c r="K696" s="54" t="n"/>
    </row>
    <row r="697">
      <c r="A697" s="39" t="inlineStr">
        <is>
          <t>Giorgio Armani</t>
        </is>
      </c>
      <c r="B697" s="47" t="inlineStr">
        <is>
          <t>ARMANI EMPORIO ARMANI EDT 100ML MASC</t>
        </is>
      </c>
      <c r="C697" s="48" t="n">
        <v>100</v>
      </c>
      <c r="D697" s="49" t="inlineStr">
        <is>
          <t>Diseñador</t>
        </is>
      </c>
      <c r="E697" s="50" t="n">
        <v>57</v>
      </c>
      <c r="F697" s="51">
        <f>E697*$B$5*(1+$B$6)</f>
        <v>74100</v>
      </c>
      <c r="G697" s="51">
        <f>F697*$B$7</f>
        <v>185250</v>
      </c>
      <c r="H697" s="51">
        <f>G697-F697</f>
        <v>111150</v>
      </c>
      <c r="I697" s="52">
        <f>H697/G697</f>
        <v>0.6</v>
      </c>
      <c r="J697" s="53" t="n"/>
      <c r="K697" s="54" t="n"/>
    </row>
    <row r="698">
      <c r="A698" s="39" t="inlineStr">
        <is>
          <t>Giorgio Armani</t>
        </is>
      </c>
      <c r="B698" s="47" t="inlineStr">
        <is>
          <t>ARMANI EMPORIO BECAUSE IT'S YOU EDP 100ML FEM</t>
        </is>
      </c>
      <c r="C698" s="48" t="n">
        <v>100</v>
      </c>
      <c r="D698" s="49" t="inlineStr">
        <is>
          <t>Diseñador</t>
        </is>
      </c>
      <c r="E698" s="50" t="n">
        <v>60.9</v>
      </c>
      <c r="F698" s="51">
        <f>E698*$B$5*(1+$B$6)</f>
        <v>79170</v>
      </c>
      <c r="G698" s="51">
        <f>F698*$B$7</f>
        <v>197925</v>
      </c>
      <c r="H698" s="51">
        <f>G698-F698</f>
        <v>118755</v>
      </c>
      <c r="I698" s="52">
        <f>H698/G698</f>
        <v>0.6</v>
      </c>
      <c r="J698" s="53" t="n"/>
      <c r="K698" s="54" t="n"/>
    </row>
    <row r="699">
      <c r="A699" s="39" t="inlineStr">
        <is>
          <t>Giorgio Armani</t>
        </is>
      </c>
      <c r="B699" s="47" t="inlineStr">
        <is>
          <t>ARMANI EMPORIO STRONGER WITH YOU ABSOLUTELY EDP 100ML</t>
        </is>
      </c>
      <c r="C699" s="48" t="n">
        <v>100</v>
      </c>
      <c r="D699" s="49" t="inlineStr">
        <is>
          <t>Diseñador</t>
        </is>
      </c>
      <c r="E699" s="50" t="n">
        <v>92</v>
      </c>
      <c r="F699" s="51">
        <f>E699*$B$5*(1+$B$6)</f>
        <v>119600</v>
      </c>
      <c r="G699" s="51">
        <f>F699*$B$7</f>
        <v>299000</v>
      </c>
      <c r="H699" s="51">
        <f>G699-F699</f>
        <v>179400</v>
      </c>
      <c r="I699" s="52">
        <f>H699/G699</f>
        <v>0.6</v>
      </c>
      <c r="J699" s="53" t="n"/>
      <c r="K699" s="54" t="n"/>
    </row>
    <row r="700">
      <c r="A700" s="39" t="inlineStr">
        <is>
          <t>Giorgio Armani</t>
        </is>
      </c>
      <c r="B700" s="47" t="inlineStr">
        <is>
          <t>ARMANI EMPORIO STRONGER WITH YOU EDT 100ML MASC</t>
        </is>
      </c>
      <c r="C700" s="48" t="n">
        <v>100</v>
      </c>
      <c r="D700" s="49" t="inlineStr">
        <is>
          <t>Diseñador</t>
        </is>
      </c>
      <c r="E700" s="50" t="n">
        <v>63</v>
      </c>
      <c r="F700" s="51">
        <f>E700*$B$5*(1+$B$6)</f>
        <v>81900</v>
      </c>
      <c r="G700" s="51">
        <f>F700*$B$7</f>
        <v>204750</v>
      </c>
      <c r="H700" s="51">
        <f>G700-F700</f>
        <v>122850</v>
      </c>
      <c r="I700" s="52">
        <f>H700/G700</f>
        <v>0.6</v>
      </c>
      <c r="J700" s="53" t="n"/>
      <c r="K700" s="54" t="n"/>
    </row>
    <row r="701">
      <c r="A701" s="39" t="inlineStr">
        <is>
          <t>Giorgio Armani</t>
        </is>
      </c>
      <c r="B701" s="47" t="inlineStr">
        <is>
          <t>ARMANI EMPORIO STRONGER WITH YOU INTENSELY EDP 100ML MASC</t>
        </is>
      </c>
      <c r="C701" s="48" t="n">
        <v>100</v>
      </c>
      <c r="D701" s="49" t="inlineStr">
        <is>
          <t>Diseñador</t>
        </is>
      </c>
      <c r="E701" s="50" t="n">
        <v>85.5</v>
      </c>
      <c r="F701" s="51">
        <f>E701*$B$5*(1+$B$6)</f>
        <v>111150</v>
      </c>
      <c r="G701" s="51">
        <f>F701*$B$7</f>
        <v>277875</v>
      </c>
      <c r="H701" s="51">
        <f>G701-F701</f>
        <v>166725</v>
      </c>
      <c r="I701" s="52">
        <f>H701/G701</f>
        <v>0.6</v>
      </c>
      <c r="J701" s="53" t="n"/>
      <c r="K701" s="54" t="n"/>
    </row>
    <row r="702">
      <c r="A702" s="39" t="inlineStr">
        <is>
          <t>Giorgio Armani</t>
        </is>
      </c>
      <c r="B702" s="47" t="inlineStr">
        <is>
          <t>ARMANI EMPORIO STRONGER WITH YOU PARFUM EDP 100ML</t>
        </is>
      </c>
      <c r="C702" s="48" t="n">
        <v>100</v>
      </c>
      <c r="D702" s="49" t="inlineStr">
        <is>
          <t>Diseñador</t>
        </is>
      </c>
      <c r="E702" s="50" t="n">
        <v>95</v>
      </c>
      <c r="F702" s="51">
        <f>E702*$B$5*(1+$B$6)</f>
        <v>123500</v>
      </c>
      <c r="G702" s="51">
        <f>F702*$B$7</f>
        <v>308750</v>
      </c>
      <c r="H702" s="51">
        <f>G702-F702</f>
        <v>185250</v>
      </c>
      <c r="I702" s="52">
        <f>H702/G702</f>
        <v>0.6</v>
      </c>
      <c r="J702" s="53" t="n"/>
      <c r="K702" s="54" t="n"/>
    </row>
    <row r="703">
      <c r="A703" s="39" t="inlineStr">
        <is>
          <t>Giorgio Armani</t>
        </is>
      </c>
      <c r="B703" s="47" t="inlineStr">
        <is>
          <t>ARMANI KIT ACQUA DI GIO EDT 100ML + DEO (SEM ALCOOL) 75G</t>
        </is>
      </c>
      <c r="C703" s="48" t="n">
        <v>100</v>
      </c>
      <c r="D703" s="49" t="inlineStr">
        <is>
          <t>Diseñador</t>
        </is>
      </c>
      <c r="E703" s="50" t="n">
        <v>80</v>
      </c>
      <c r="F703" s="51">
        <f>E703*$B$5*(1+$B$6)</f>
        <v>104000</v>
      </c>
      <c r="G703" s="51">
        <f>F703*$B$7</f>
        <v>260000</v>
      </c>
      <c r="H703" s="51">
        <f>G703-F703</f>
        <v>156000</v>
      </c>
      <c r="I703" s="52">
        <f>H703/G703</f>
        <v>0.6</v>
      </c>
      <c r="J703" s="53" t="n"/>
      <c r="K703" s="54" t="n"/>
    </row>
    <row r="704">
      <c r="A704" s="39" t="inlineStr">
        <is>
          <t>Giorgio Armani</t>
        </is>
      </c>
      <c r="B704" s="47" t="inlineStr">
        <is>
          <t>ARMANI KIT SI EDP 100ML + 15ML</t>
        </is>
      </c>
      <c r="C704" s="48" t="n">
        <v>100</v>
      </c>
      <c r="D704" s="49" t="inlineStr">
        <is>
          <t>Diseñador</t>
        </is>
      </c>
      <c r="E704" s="50" t="n">
        <v>125</v>
      </c>
      <c r="F704" s="51">
        <f>E704*$B$5*(1+$B$6)</f>
        <v>162500</v>
      </c>
      <c r="G704" s="51">
        <f>F704*$B$7</f>
        <v>406250</v>
      </c>
      <c r="H704" s="51">
        <f>G704-F704</f>
        <v>243750</v>
      </c>
      <c r="I704" s="52">
        <f>H704/G704</f>
        <v>0.6</v>
      </c>
      <c r="J704" s="53" t="n"/>
      <c r="K704" s="54" t="n"/>
    </row>
    <row r="705">
      <c r="A705" s="39" t="inlineStr">
        <is>
          <t>Giorgio Armani</t>
        </is>
      </c>
      <c r="B705" s="47" t="inlineStr">
        <is>
          <t>ARMANI KIT SI PASSIONE EDP 50ML + LIPSTICK LIP MAESTRO</t>
        </is>
      </c>
      <c r="C705" s="48" t="n">
        <v>50</v>
      </c>
      <c r="D705" s="49" t="inlineStr">
        <is>
          <t>Diseñador</t>
        </is>
      </c>
      <c r="E705" s="50" t="n">
        <v>84</v>
      </c>
      <c r="F705" s="51">
        <f>E705*$B$5*(1+$B$6)</f>
        <v>109200</v>
      </c>
      <c r="G705" s="51">
        <f>F705*$B$7</f>
        <v>273000</v>
      </c>
      <c r="H705" s="51">
        <f>G705-F705</f>
        <v>163800</v>
      </c>
      <c r="I705" s="52">
        <f>H705/G705</f>
        <v>0.6</v>
      </c>
      <c r="J705" s="53" t="n"/>
      <c r="K705" s="54" t="n"/>
    </row>
    <row r="706">
      <c r="A706" s="39" t="inlineStr">
        <is>
          <t>Giorgio Armani</t>
        </is>
      </c>
      <c r="B706" s="47" t="inlineStr">
        <is>
          <t>ARMANI MY WAY EDP 15ML FEM</t>
        </is>
      </c>
      <c r="C706" s="48" t="n">
        <v>15</v>
      </c>
      <c r="D706" s="49" t="inlineStr">
        <is>
          <t>Diseñador</t>
        </is>
      </c>
      <c r="E706" s="50" t="n">
        <v>25</v>
      </c>
      <c r="F706" s="51">
        <f>E706*$B$5*(1+$B$6)</f>
        <v>32500</v>
      </c>
      <c r="G706" s="51">
        <f>F706*$B$7</f>
        <v>81250</v>
      </c>
      <c r="H706" s="51">
        <f>G706-F706</f>
        <v>48750</v>
      </c>
      <c r="I706" s="52">
        <f>H706/G706</f>
        <v>0.6</v>
      </c>
      <c r="J706" s="53" t="n"/>
      <c r="K706" s="54" t="n"/>
    </row>
    <row r="707">
      <c r="A707" s="39" t="inlineStr">
        <is>
          <t>Giorgio Armani</t>
        </is>
      </c>
      <c r="B707" s="47" t="inlineStr">
        <is>
          <t>ARMANI MY WAY EDP 50ML FEM</t>
        </is>
      </c>
      <c r="C707" s="48" t="n">
        <v>50</v>
      </c>
      <c r="D707" s="49" t="inlineStr">
        <is>
          <t>Diseñador</t>
        </is>
      </c>
      <c r="E707" s="50" t="n">
        <v>75</v>
      </c>
      <c r="F707" s="51">
        <f>E707*$B$5*(1+$B$6)</f>
        <v>97500</v>
      </c>
      <c r="G707" s="51">
        <f>F707*$B$7</f>
        <v>243750</v>
      </c>
      <c r="H707" s="51">
        <f>G707-F707</f>
        <v>146250</v>
      </c>
      <c r="I707" s="52">
        <f>H707/G707</f>
        <v>0.6</v>
      </c>
      <c r="J707" s="53" t="n"/>
      <c r="K707" s="54" t="n"/>
    </row>
    <row r="708">
      <c r="A708" s="39" t="inlineStr">
        <is>
          <t>Giorgio Armani</t>
        </is>
      </c>
      <c r="B708" s="47" t="inlineStr">
        <is>
          <t>ARMANI MY WAY INTENSE EDP 50ML FEM</t>
        </is>
      </c>
      <c r="C708" s="48" t="n">
        <v>50</v>
      </c>
      <c r="D708" s="49" t="inlineStr">
        <is>
          <t>Diseñador</t>
        </is>
      </c>
      <c r="E708" s="50" t="n">
        <v>80</v>
      </c>
      <c r="F708" s="51">
        <f>E708*$B$5*(1+$B$6)</f>
        <v>104000</v>
      </c>
      <c r="G708" s="51">
        <f>F708*$B$7</f>
        <v>260000</v>
      </c>
      <c r="H708" s="51">
        <f>G708-F708</f>
        <v>156000</v>
      </c>
      <c r="I708" s="52">
        <f>H708/G708</f>
        <v>0.6</v>
      </c>
      <c r="J708" s="53" t="n"/>
      <c r="K708" s="54" t="n"/>
    </row>
    <row r="709">
      <c r="A709" s="39" t="inlineStr">
        <is>
          <t>Giorgio Armani</t>
        </is>
      </c>
      <c r="B709" s="47" t="inlineStr">
        <is>
          <t>ARMANI MY WAY NECTAR EDP 90ML FEM</t>
        </is>
      </c>
      <c r="C709" s="48" t="n">
        <v>90</v>
      </c>
      <c r="D709" s="49" t="inlineStr">
        <is>
          <t>Diseñador</t>
        </is>
      </c>
      <c r="E709" s="50" t="n">
        <v>105</v>
      </c>
      <c r="F709" s="51">
        <f>E709*$B$5*(1+$B$6)</f>
        <v>136500</v>
      </c>
      <c r="G709" s="51">
        <f>F709*$B$7</f>
        <v>341250</v>
      </c>
      <c r="H709" s="51">
        <f>G709-F709</f>
        <v>204750</v>
      </c>
      <c r="I709" s="52">
        <f>H709/G709</f>
        <v>0.6</v>
      </c>
      <c r="J709" s="53" t="n"/>
      <c r="K709" s="54" t="n"/>
    </row>
    <row r="710">
      <c r="A710" s="39" t="inlineStr">
        <is>
          <t>Giorgio Armani</t>
        </is>
      </c>
      <c r="B710" s="47" t="inlineStr">
        <is>
          <t>ARMANI MY WAY PARFUM 90ML</t>
        </is>
      </c>
      <c r="C710" s="48" t="n">
        <v>90</v>
      </c>
      <c r="D710" s="49" t="inlineStr">
        <is>
          <t>Diseñador</t>
        </is>
      </c>
      <c r="E710" s="50" t="n">
        <v>105</v>
      </c>
      <c r="F710" s="51">
        <f>E710*$B$5*(1+$B$6)</f>
        <v>136500</v>
      </c>
      <c r="G710" s="51">
        <f>F710*$B$7</f>
        <v>341250</v>
      </c>
      <c r="H710" s="51">
        <f>G710-F710</f>
        <v>204750</v>
      </c>
      <c r="I710" s="52">
        <f>H710/G710</f>
        <v>0.6</v>
      </c>
      <c r="J710" s="53" t="n"/>
      <c r="K710" s="54" t="n"/>
    </row>
    <row r="711">
      <c r="A711" s="39" t="inlineStr">
        <is>
          <t>Giorgio Armani</t>
        </is>
      </c>
      <c r="B711" s="47" t="inlineStr">
        <is>
          <t>ARMANI POWER OF YOU EDP 50ML FEM</t>
        </is>
      </c>
      <c r="C711" s="48" t="n">
        <v>50</v>
      </c>
      <c r="D711" s="49" t="inlineStr">
        <is>
          <t>Diseñador</t>
        </is>
      </c>
      <c r="E711" s="50" t="n">
        <v>90</v>
      </c>
      <c r="F711" s="51">
        <f>E711*$B$5*(1+$B$6)</f>
        <v>117000</v>
      </c>
      <c r="G711" s="51">
        <f>F711*$B$7</f>
        <v>292500</v>
      </c>
      <c r="H711" s="51">
        <f>G711-F711</f>
        <v>175500</v>
      </c>
      <c r="I711" s="52">
        <f>H711/G711</f>
        <v>0.6</v>
      </c>
      <c r="J711" s="53" t="n"/>
      <c r="K711" s="54" t="n"/>
    </row>
    <row r="712">
      <c r="A712" s="39" t="inlineStr">
        <is>
          <t>Giorgio Armani</t>
        </is>
      </c>
      <c r="B712" s="47" t="inlineStr">
        <is>
          <t>ARMANI SI EDP 100ML FEM</t>
        </is>
      </c>
      <c r="C712" s="48" t="n">
        <v>100</v>
      </c>
      <c r="D712" s="49" t="inlineStr">
        <is>
          <t>Diseñador</t>
        </is>
      </c>
      <c r="E712" s="50" t="n">
        <v>92</v>
      </c>
      <c r="F712" s="51">
        <f>E712*$B$5*(1+$B$6)</f>
        <v>119600</v>
      </c>
      <c r="G712" s="51">
        <f>F712*$B$7</f>
        <v>299000</v>
      </c>
      <c r="H712" s="51">
        <f>G712-F712</f>
        <v>179400</v>
      </c>
      <c r="I712" s="52">
        <f>H712/G712</f>
        <v>0.6</v>
      </c>
      <c r="J712" s="53" t="n"/>
      <c r="K712" s="54" t="n"/>
    </row>
    <row r="713">
      <c r="A713" s="39" t="inlineStr">
        <is>
          <t>Giorgio Armani</t>
        </is>
      </c>
      <c r="B713" s="47" t="inlineStr">
        <is>
          <t>ARMANI SI EDP 15ML</t>
        </is>
      </c>
      <c r="C713" s="48" t="n">
        <v>15</v>
      </c>
      <c r="D713" s="49" t="inlineStr">
        <is>
          <t>Diseñador</t>
        </is>
      </c>
      <c r="E713" s="50" t="n">
        <v>18</v>
      </c>
      <c r="F713" s="51">
        <f>E713*$B$5*(1+$B$6)</f>
        <v>23400</v>
      </c>
      <c r="G713" s="51">
        <f>F713*$B$7</f>
        <v>58500</v>
      </c>
      <c r="H713" s="51">
        <f>G713-F713</f>
        <v>35100</v>
      </c>
      <c r="I713" s="52">
        <f>H713/G713</f>
        <v>0.6</v>
      </c>
      <c r="J713" s="53" t="n"/>
      <c r="K713" s="54" t="n"/>
    </row>
    <row r="714">
      <c r="A714" s="39" t="inlineStr">
        <is>
          <t>Giorgio Armani</t>
        </is>
      </c>
      <c r="B714" s="47" t="inlineStr">
        <is>
          <t>ARMANI SI INTENSE EDP 100ML</t>
        </is>
      </c>
      <c r="C714" s="48" t="n">
        <v>100</v>
      </c>
      <c r="D714" s="49" t="inlineStr">
        <is>
          <t>Diseñador</t>
        </is>
      </c>
      <c r="E714" s="50" t="n">
        <v>100</v>
      </c>
      <c r="F714" s="51">
        <f>E714*$B$5*(1+$B$6)</f>
        <v>130000</v>
      </c>
      <c r="G714" s="51">
        <f>F714*$B$7</f>
        <v>325000</v>
      </c>
      <c r="H714" s="51">
        <f>G714-F714</f>
        <v>195000</v>
      </c>
      <c r="I714" s="52">
        <f>H714/G714</f>
        <v>0.6</v>
      </c>
      <c r="J714" s="53" t="n"/>
      <c r="K714" s="54" t="n"/>
    </row>
    <row r="715">
      <c r="A715" s="39" t="inlineStr">
        <is>
          <t>Giorgio Armani</t>
        </is>
      </c>
      <c r="B715" s="47" t="inlineStr">
        <is>
          <t>ARMANI SI PASSIONE ECLAT EDP 100ML</t>
        </is>
      </c>
      <c r="C715" s="48" t="n">
        <v>100</v>
      </c>
      <c r="D715" s="49" t="inlineStr">
        <is>
          <t>Diseñador</t>
        </is>
      </c>
      <c r="E715" s="50" t="n">
        <v>94</v>
      </c>
      <c r="F715" s="51">
        <f>E715*$B$5*(1+$B$6)</f>
        <v>122200</v>
      </c>
      <c r="G715" s="51">
        <f>F715*$B$7</f>
        <v>305500</v>
      </c>
      <c r="H715" s="51">
        <f>G715-F715</f>
        <v>183300</v>
      </c>
      <c r="I715" s="52">
        <f>H715/G715</f>
        <v>0.6</v>
      </c>
      <c r="J715" s="53" t="n"/>
      <c r="K715" s="54" t="n"/>
    </row>
    <row r="716">
      <c r="A716" s="39" t="inlineStr">
        <is>
          <t>Giorgio Armani</t>
        </is>
      </c>
      <c r="B716" s="47" t="inlineStr">
        <is>
          <t>ARMANI SI PASSIONE EDP 100ML</t>
        </is>
      </c>
      <c r="C716" s="48" t="n">
        <v>100</v>
      </c>
      <c r="D716" s="49" t="inlineStr">
        <is>
          <t>Diseñador</t>
        </is>
      </c>
      <c r="E716" s="50" t="n">
        <v>92</v>
      </c>
      <c r="F716" s="51">
        <f>E716*$B$5*(1+$B$6)</f>
        <v>119600</v>
      </c>
      <c r="G716" s="51">
        <f>F716*$B$7</f>
        <v>299000</v>
      </c>
      <c r="H716" s="51">
        <f>G716-F716</f>
        <v>179400</v>
      </c>
      <c r="I716" s="52">
        <f>H716/G716</f>
        <v>0.6</v>
      </c>
      <c r="J716" s="53" t="n"/>
      <c r="K716" s="54" t="n"/>
    </row>
    <row r="717">
      <c r="A717" s="39" t="inlineStr">
        <is>
          <t>Giorgio Armani</t>
        </is>
      </c>
      <c r="B717" s="47" t="inlineStr">
        <is>
          <t>ARMANI SI PASSIONE INTENSE EDP 100ML</t>
        </is>
      </c>
      <c r="C717" s="48" t="n">
        <v>100</v>
      </c>
      <c r="D717" s="49" t="inlineStr">
        <is>
          <t>Diseñador</t>
        </is>
      </c>
      <c r="E717" s="50" t="n">
        <v>96</v>
      </c>
      <c r="F717" s="51">
        <f>E717*$B$5*(1+$B$6)</f>
        <v>124800</v>
      </c>
      <c r="G717" s="51">
        <f>F717*$B$7</f>
        <v>312000</v>
      </c>
      <c r="H717" s="51">
        <f>G717-F717</f>
        <v>187200</v>
      </c>
      <c r="I717" s="52">
        <f>H717/G717</f>
        <v>0.6</v>
      </c>
      <c r="J717" s="53" t="n"/>
      <c r="K717" s="54" t="n"/>
    </row>
    <row r="718">
      <c r="A718" s="39" t="inlineStr">
        <is>
          <t>Giorgio Armani</t>
        </is>
      </c>
      <c r="B718" s="47" t="inlineStr">
        <is>
          <t>GIORGIO ARMANI PRIVE ROSE MILANO EDT 100ML UNISEX</t>
        </is>
      </c>
      <c r="C718" s="48" t="n">
        <v>100</v>
      </c>
      <c r="D718" s="49" t="inlineStr">
        <is>
          <t>Diseñador</t>
        </is>
      </c>
      <c r="E718" s="50" t="n">
        <v>330</v>
      </c>
      <c r="F718" s="51">
        <f>E718*$B$5*(1+$B$6)</f>
        <v>429000</v>
      </c>
      <c r="G718" s="51">
        <f>F718*$B$7</f>
        <v>1072500</v>
      </c>
      <c r="H718" s="51">
        <f>G718-F718</f>
        <v>643500</v>
      </c>
      <c r="I718" s="52">
        <f>H718/G718</f>
        <v>0.6</v>
      </c>
      <c r="J718" s="53" t="n"/>
      <c r="K718" s="54" t="n"/>
    </row>
    <row r="719">
      <c r="A719" s="39" t="inlineStr">
        <is>
          <t>Giorgio Armani</t>
        </is>
      </c>
      <c r="B719" s="47" t="inlineStr">
        <is>
          <t>TESTER ARMANI EMPORIO EDP 100ML C/T</t>
        </is>
      </c>
      <c r="C719" s="48" t="n">
        <v>100</v>
      </c>
      <c r="D719" s="49" t="inlineStr">
        <is>
          <t>Tester</t>
        </is>
      </c>
      <c r="E719" s="50" t="n">
        <v>52</v>
      </c>
      <c r="F719" s="51">
        <f>E719*$B$5*(1+$B$6)</f>
        <v>67600</v>
      </c>
      <c r="G719" s="51">
        <f>F719*$B$7</f>
        <v>169000</v>
      </c>
      <c r="H719" s="51">
        <f>G719-F719</f>
        <v>101400</v>
      </c>
      <c r="I719" s="52">
        <f>H719/G719</f>
        <v>0.6</v>
      </c>
      <c r="J719" s="53" t="n"/>
      <c r="K719" s="54" t="n"/>
    </row>
    <row r="720">
      <c r="A720" s="39" t="inlineStr">
        <is>
          <t>Giorgio Armani</t>
        </is>
      </c>
      <c r="B720" s="47" t="inlineStr">
        <is>
          <t>TESTER ARMANI EMPORIO EDT 100ML C/T</t>
        </is>
      </c>
      <c r="C720" s="48" t="n">
        <v>100</v>
      </c>
      <c r="D720" s="49" t="inlineStr">
        <is>
          <t>Tester</t>
        </is>
      </c>
      <c r="E720" s="50" t="n">
        <v>45</v>
      </c>
      <c r="F720" s="51">
        <f>E720*$B$5*(1+$B$6)</f>
        <v>58500</v>
      </c>
      <c r="G720" s="51">
        <f>F720*$B$7</f>
        <v>146250</v>
      </c>
      <c r="H720" s="51">
        <f>G720-F720</f>
        <v>87750</v>
      </c>
      <c r="I720" s="52">
        <f>H720/G720</f>
        <v>0.6</v>
      </c>
      <c r="J720" s="53" t="n"/>
      <c r="K720" s="54" t="n"/>
    </row>
    <row r="721">
      <c r="A721" s="39" t="inlineStr">
        <is>
          <t>Giorgio Armani</t>
        </is>
      </c>
      <c r="B721" s="47" t="inlineStr">
        <is>
          <t>TESTER ARMANI EMPORIO STRONGER WITH YOU EDT 100ML C/T</t>
        </is>
      </c>
      <c r="C721" s="48" t="n">
        <v>100</v>
      </c>
      <c r="D721" s="49" t="inlineStr">
        <is>
          <t>Tester</t>
        </is>
      </c>
      <c r="E721" s="50" t="n">
        <v>50</v>
      </c>
      <c r="F721" s="51">
        <f>E721*$B$5*(1+$B$6)</f>
        <v>65000</v>
      </c>
      <c r="G721" s="51">
        <f>F721*$B$7</f>
        <v>162500</v>
      </c>
      <c r="H721" s="51">
        <f>G721-F721</f>
        <v>97500</v>
      </c>
      <c r="I721" s="52">
        <f>H721/G721</f>
        <v>0.6</v>
      </c>
      <c r="J721" s="53" t="n"/>
      <c r="K721" s="54" t="n"/>
    </row>
    <row r="722">
      <c r="A722" s="39" t="inlineStr">
        <is>
          <t>Giorgio Armani</t>
        </is>
      </c>
      <c r="B722" s="47" t="inlineStr">
        <is>
          <t>TESTER ARMANI MY WAY YLANG EDP 90ML C/T</t>
        </is>
      </c>
      <c r="C722" s="48" t="n">
        <v>90</v>
      </c>
      <c r="D722" s="49" t="inlineStr">
        <is>
          <t>Tester</t>
        </is>
      </c>
      <c r="E722" s="50" t="n">
        <v>63.5</v>
      </c>
      <c r="F722" s="51">
        <f>E722*$B$5*(1+$B$6)</f>
        <v>82550</v>
      </c>
      <c r="G722" s="51">
        <f>F722*$B$7</f>
        <v>206375</v>
      </c>
      <c r="H722" s="51">
        <f>G722-F722</f>
        <v>123825</v>
      </c>
      <c r="I722" s="52">
        <f>H722/G722</f>
        <v>0.6</v>
      </c>
      <c r="J722" s="53" t="n"/>
      <c r="K722" s="54" t="n"/>
    </row>
    <row r="723">
      <c r="A723" s="39" t="inlineStr">
        <is>
          <t>Giorgio Beverly Hills</t>
        </is>
      </c>
      <c r="B723" s="47" t="inlineStr">
        <is>
          <t>GIORGIO BEVERLY HILLS EDT 90ML</t>
        </is>
      </c>
      <c r="C723" s="48" t="n">
        <v>90</v>
      </c>
      <c r="D723" s="49" t="inlineStr">
        <is>
          <t>Diseñador</t>
        </is>
      </c>
      <c r="E723" s="50" t="n">
        <v>20</v>
      </c>
      <c r="F723" s="51">
        <f>E723*$B$5*(1+$B$6)</f>
        <v>26000</v>
      </c>
      <c r="G723" s="51">
        <f>F723*$B$7</f>
        <v>65000</v>
      </c>
      <c r="H723" s="51">
        <f>G723-F723</f>
        <v>39000</v>
      </c>
      <c r="I723" s="52">
        <f>H723/G723</f>
        <v>0.6</v>
      </c>
      <c r="J723" s="53" t="n"/>
      <c r="K723" s="54" t="n"/>
    </row>
    <row r="724">
      <c r="A724" s="39" t="inlineStr">
        <is>
          <t>Givenchy</t>
        </is>
      </c>
      <c r="B724" s="47" t="inlineStr">
        <is>
          <t>GIVENCHY AMARIGE EDT 100ML FEM</t>
        </is>
      </c>
      <c r="C724" s="48" t="n">
        <v>100</v>
      </c>
      <c r="D724" s="49" t="inlineStr">
        <is>
          <t>Diseñador</t>
        </is>
      </c>
      <c r="E724" s="50" t="n">
        <v>53.5</v>
      </c>
      <c r="F724" s="51">
        <f>E724*$B$5*(1+$B$6)</f>
        <v>69550</v>
      </c>
      <c r="G724" s="51">
        <f>F724*$B$7</f>
        <v>173875</v>
      </c>
      <c r="H724" s="51">
        <f>G724-F724</f>
        <v>104325</v>
      </c>
      <c r="I724" s="52">
        <f>H724/G724</f>
        <v>0.6</v>
      </c>
      <c r="J724" s="53" t="n"/>
      <c r="K724" s="54" t="n"/>
    </row>
    <row r="725">
      <c r="A725" s="39" t="inlineStr">
        <is>
          <t>Givenchy</t>
        </is>
      </c>
      <c r="B725" s="47" t="inlineStr">
        <is>
          <t>GIVENCHY ANGE OU DEMON EDP 100ML FEM</t>
        </is>
      </c>
      <c r="C725" s="48" t="n">
        <v>100</v>
      </c>
      <c r="D725" s="49" t="inlineStr">
        <is>
          <t>Diseñador</t>
        </is>
      </c>
      <c r="E725" s="50" t="n">
        <v>65</v>
      </c>
      <c r="F725" s="51">
        <f>E725*$B$5*(1+$B$6)</f>
        <v>84500</v>
      </c>
      <c r="G725" s="51">
        <f>F725*$B$7</f>
        <v>211250</v>
      </c>
      <c r="H725" s="51">
        <f>G725-F725</f>
        <v>126750</v>
      </c>
      <c r="I725" s="52">
        <f>H725/G725</f>
        <v>0.6</v>
      </c>
      <c r="J725" s="53" t="n"/>
      <c r="K725" s="54" t="n"/>
    </row>
    <row r="726">
      <c r="A726" s="39" t="inlineStr">
        <is>
          <t>Givenchy</t>
        </is>
      </c>
      <c r="B726" s="47" t="inlineStr">
        <is>
          <t>GIVENCHY ANGE OU DEMON LE SECRET EDP 100ML FEM</t>
        </is>
      </c>
      <c r="C726" s="48" t="n">
        <v>100</v>
      </c>
      <c r="D726" s="49" t="inlineStr">
        <is>
          <t>Diseñador</t>
        </is>
      </c>
      <c r="E726" s="50" t="n">
        <v>63.9</v>
      </c>
      <c r="F726" s="51">
        <f>E726*$B$5*(1+$B$6)</f>
        <v>83070</v>
      </c>
      <c r="G726" s="51">
        <f>F726*$B$7</f>
        <v>207675</v>
      </c>
      <c r="H726" s="51">
        <f>G726-F726</f>
        <v>124605</v>
      </c>
      <c r="I726" s="52">
        <f>H726/G726</f>
        <v>0.6</v>
      </c>
      <c r="J726" s="53" t="n"/>
      <c r="K726" s="54" t="n"/>
    </row>
    <row r="727">
      <c r="A727" s="39" t="inlineStr">
        <is>
          <t>Givenchy</t>
        </is>
      </c>
      <c r="B727" s="47" t="inlineStr">
        <is>
          <t>GIVENCHY GENTLEMAN BOISEE EDP 100ML</t>
        </is>
      </c>
      <c r="C727" s="48" t="n">
        <v>100</v>
      </c>
      <c r="D727" s="49" t="inlineStr">
        <is>
          <t>Diseñador</t>
        </is>
      </c>
      <c r="E727" s="50" t="n">
        <v>71</v>
      </c>
      <c r="F727" s="51">
        <f>E727*$B$5*(1+$B$6)</f>
        <v>92300</v>
      </c>
      <c r="G727" s="51">
        <f>F727*$B$7</f>
        <v>230750</v>
      </c>
      <c r="H727" s="51">
        <f>G727-F727</f>
        <v>138450</v>
      </c>
      <c r="I727" s="52">
        <f>H727/G727</f>
        <v>0.6</v>
      </c>
      <c r="J727" s="53" t="n"/>
      <c r="K727" s="54" t="n"/>
    </row>
    <row r="728">
      <c r="A728" s="39" t="inlineStr">
        <is>
          <t>Givenchy</t>
        </is>
      </c>
      <c r="B728" s="47" t="inlineStr">
        <is>
          <t>GIVENCHY GENTLEMAN BOISEE EDP 60ML</t>
        </is>
      </c>
      <c r="C728" s="48" t="n">
        <v>60</v>
      </c>
      <c r="D728" s="49" t="inlineStr">
        <is>
          <t>Diseñador</t>
        </is>
      </c>
      <c r="E728" s="50" t="n">
        <v>59.75</v>
      </c>
      <c r="F728" s="51">
        <f>E728*$B$5*(1+$B$6)</f>
        <v>77675</v>
      </c>
      <c r="G728" s="51">
        <f>F728*$B$7</f>
        <v>194187.5</v>
      </c>
      <c r="H728" s="51">
        <f>G728-F728</f>
        <v>116512.5</v>
      </c>
      <c r="I728" s="52">
        <f>H728/G728</f>
        <v>0.6</v>
      </c>
      <c r="J728" s="53" t="n"/>
      <c r="K728" s="54" t="n"/>
    </row>
    <row r="729">
      <c r="A729" s="39" t="inlineStr">
        <is>
          <t>Givenchy</t>
        </is>
      </c>
      <c r="B729" s="47" t="inlineStr">
        <is>
          <t>GIVENCHY GENTLEMAN EDP 100ML MASC</t>
        </is>
      </c>
      <c r="C729" s="48" t="n">
        <v>100</v>
      </c>
      <c r="D729" s="49" t="inlineStr">
        <is>
          <t>Diseñador</t>
        </is>
      </c>
      <c r="E729" s="50" t="n">
        <v>93</v>
      </c>
      <c r="F729" s="51">
        <f>E729*$B$5*(1+$B$6)</f>
        <v>120900</v>
      </c>
      <c r="G729" s="51">
        <f>F729*$B$7</f>
        <v>302250</v>
      </c>
      <c r="H729" s="51">
        <f>G729-F729</f>
        <v>181350</v>
      </c>
      <c r="I729" s="52">
        <f>H729/G729</f>
        <v>0.6</v>
      </c>
      <c r="J729" s="53" t="n"/>
      <c r="K729" s="54" t="n"/>
    </row>
    <row r="730">
      <c r="A730" s="39" t="inlineStr">
        <is>
          <t>Givenchy</t>
        </is>
      </c>
      <c r="B730" s="47" t="inlineStr">
        <is>
          <t>GIVENCHY GENTLEMAN EDT 100ML MASC</t>
        </is>
      </c>
      <c r="C730" s="48" t="n">
        <v>100</v>
      </c>
      <c r="D730" s="49" t="inlineStr">
        <is>
          <t>Diseñador</t>
        </is>
      </c>
      <c r="E730" s="50" t="n">
        <v>57</v>
      </c>
      <c r="F730" s="51">
        <f>E730*$B$5*(1+$B$6)</f>
        <v>74100</v>
      </c>
      <c r="G730" s="51">
        <f>F730*$B$7</f>
        <v>185250</v>
      </c>
      <c r="H730" s="51">
        <f>G730-F730</f>
        <v>111150</v>
      </c>
      <c r="I730" s="52">
        <f>H730/G730</f>
        <v>0.6</v>
      </c>
      <c r="J730" s="53" t="n"/>
      <c r="K730" s="54" t="n"/>
    </row>
    <row r="731">
      <c r="A731" s="39" t="inlineStr">
        <is>
          <t>Givenchy</t>
        </is>
      </c>
      <c r="B731" s="47" t="inlineStr">
        <is>
          <t>GIVENCHY GENTLEMAN ONLY EDT 100ML</t>
        </is>
      </c>
      <c r="C731" s="48" t="n">
        <v>100</v>
      </c>
      <c r="D731" s="49" t="inlineStr">
        <is>
          <t>Diseñador</t>
        </is>
      </c>
      <c r="E731" s="50" t="n">
        <v>55</v>
      </c>
      <c r="F731" s="51">
        <f>E731*$B$5*(1+$B$6)</f>
        <v>71500</v>
      </c>
      <c r="G731" s="51">
        <f>F731*$B$7</f>
        <v>178750</v>
      </c>
      <c r="H731" s="51">
        <f>G731-F731</f>
        <v>107250</v>
      </c>
      <c r="I731" s="52">
        <f>H731/G731</f>
        <v>0.6</v>
      </c>
      <c r="J731" s="53" t="n"/>
      <c r="K731" s="54" t="n"/>
    </row>
    <row r="732">
      <c r="A732" s="39" t="inlineStr">
        <is>
          <t>Givenchy</t>
        </is>
      </c>
      <c r="B732" s="47" t="inlineStr">
        <is>
          <t>GIVENCHY GENTLEMAN RESERVE PRIVEE EDP 100ML</t>
        </is>
      </c>
      <c r="C732" s="48" t="n">
        <v>100</v>
      </c>
      <c r="D732" s="49" t="inlineStr">
        <is>
          <t>Diseñador</t>
        </is>
      </c>
      <c r="E732" s="50" t="n">
        <v>95</v>
      </c>
      <c r="F732" s="51">
        <f>E732*$B$5*(1+$B$6)</f>
        <v>123500</v>
      </c>
      <c r="G732" s="51">
        <f>F732*$B$7</f>
        <v>308750</v>
      </c>
      <c r="H732" s="51">
        <f>G732-F732</f>
        <v>185250</v>
      </c>
      <c r="I732" s="52">
        <f>H732/G732</f>
        <v>0.6</v>
      </c>
      <c r="J732" s="53" t="n"/>
      <c r="K732" s="54" t="n"/>
    </row>
    <row r="733">
      <c r="A733" s="39" t="inlineStr">
        <is>
          <t>Givenchy</t>
        </is>
      </c>
      <c r="B733" s="47" t="inlineStr">
        <is>
          <t>GIVENCHY GENTLEMAN SOCIETY EDP 100ML</t>
        </is>
      </c>
      <c r="C733" s="48" t="n">
        <v>100</v>
      </c>
      <c r="D733" s="49" t="inlineStr">
        <is>
          <t>Diseñador</t>
        </is>
      </c>
      <c r="E733" s="50" t="n">
        <v>73</v>
      </c>
      <c r="F733" s="51">
        <f>E733*$B$5*(1+$B$6)</f>
        <v>94900</v>
      </c>
      <c r="G733" s="51">
        <f>F733*$B$7</f>
        <v>237250</v>
      </c>
      <c r="H733" s="51">
        <f>G733-F733</f>
        <v>142350</v>
      </c>
      <c r="I733" s="52">
        <f>H733/G733</f>
        <v>0.6</v>
      </c>
      <c r="J733" s="53" t="n"/>
      <c r="K733" s="54" t="n"/>
    </row>
    <row r="734">
      <c r="A734" s="39" t="inlineStr">
        <is>
          <t>Givenchy</t>
        </is>
      </c>
      <c r="B734" s="47" t="inlineStr">
        <is>
          <t>GIVENCHY GENTLEMAN SOCIETY EDP AMBREE 100ML</t>
        </is>
      </c>
      <c r="C734" s="48" t="n">
        <v>100</v>
      </c>
      <c r="D734" s="49" t="inlineStr">
        <is>
          <t>Diseñador</t>
        </is>
      </c>
      <c r="E734" s="50" t="n">
        <v>100</v>
      </c>
      <c r="F734" s="51">
        <f>E734*$B$5*(1+$B$6)</f>
        <v>130000</v>
      </c>
      <c r="G734" s="51">
        <f>F734*$B$7</f>
        <v>325000</v>
      </c>
      <c r="H734" s="51">
        <f>G734-F734</f>
        <v>195000</v>
      </c>
      <c r="I734" s="52">
        <f>H734/G734</f>
        <v>0.6</v>
      </c>
      <c r="J734" s="53" t="n"/>
      <c r="K734" s="54" t="n"/>
    </row>
    <row r="735">
      <c r="A735" s="39" t="inlineStr">
        <is>
          <t>Givenchy</t>
        </is>
      </c>
      <c r="B735" s="47" t="inlineStr">
        <is>
          <t>GIVENCHY GENTLEMAN SOCIETY EDP EXTREME 100ML</t>
        </is>
      </c>
      <c r="C735" s="48" t="n">
        <v>100</v>
      </c>
      <c r="D735" s="49" t="inlineStr">
        <is>
          <t>Diseñador</t>
        </is>
      </c>
      <c r="E735" s="50" t="n">
        <v>92</v>
      </c>
      <c r="F735" s="51">
        <f>E735*$B$5*(1+$B$6)</f>
        <v>119600</v>
      </c>
      <c r="G735" s="51">
        <f>F735*$B$7</f>
        <v>299000</v>
      </c>
      <c r="H735" s="51">
        <f>G735-F735</f>
        <v>179400</v>
      </c>
      <c r="I735" s="52">
        <f>H735/G735</f>
        <v>0.6</v>
      </c>
      <c r="J735" s="53" t="n"/>
      <c r="K735" s="54" t="n"/>
    </row>
    <row r="736">
      <c r="A736" s="39" t="inlineStr">
        <is>
          <t>Givenchy</t>
        </is>
      </c>
      <c r="B736" s="47" t="inlineStr">
        <is>
          <t>GIVENCHY IRRESISTIBLE EDP 80ML FEMININO</t>
        </is>
      </c>
      <c r="C736" s="48" t="n">
        <v>80</v>
      </c>
      <c r="D736" s="49" t="inlineStr">
        <is>
          <t>Diseñador</t>
        </is>
      </c>
      <c r="E736" s="50" t="n">
        <v>90</v>
      </c>
      <c r="F736" s="51">
        <f>E736*$B$5*(1+$B$6)</f>
        <v>117000</v>
      </c>
      <c r="G736" s="51">
        <f>F736*$B$7</f>
        <v>292500</v>
      </c>
      <c r="H736" s="51">
        <f>G736-F736</f>
        <v>175500</v>
      </c>
      <c r="I736" s="52">
        <f>H736/G736</f>
        <v>0.6</v>
      </c>
      <c r="J736" s="53" t="n"/>
      <c r="K736" s="54" t="n"/>
    </row>
    <row r="737">
      <c r="A737" s="39" t="inlineStr">
        <is>
          <t>Givenchy</t>
        </is>
      </c>
      <c r="B737" s="47" t="inlineStr">
        <is>
          <t>GIVENCHY IRRESISTIBLE NUDE VELVET EDP 80ML</t>
        </is>
      </c>
      <c r="C737" s="48" t="n">
        <v>80</v>
      </c>
      <c r="D737" s="49" t="inlineStr">
        <is>
          <t>Diseñador</t>
        </is>
      </c>
      <c r="E737" s="50" t="n">
        <v>92</v>
      </c>
      <c r="F737" s="51">
        <f>E737*$B$5*(1+$B$6)</f>
        <v>119600</v>
      </c>
      <c r="G737" s="51">
        <f>F737*$B$7</f>
        <v>299000</v>
      </c>
      <c r="H737" s="51">
        <f>G737-F737</f>
        <v>179400</v>
      </c>
      <c r="I737" s="52">
        <f>H737/G737</f>
        <v>0.6</v>
      </c>
      <c r="J737" s="53" t="n"/>
      <c r="K737" s="54" t="n"/>
    </row>
    <row r="738">
      <c r="A738" s="39" t="inlineStr">
        <is>
          <t>Givenchy</t>
        </is>
      </c>
      <c r="B738" s="47" t="inlineStr">
        <is>
          <t>GIVENCHY IRRESISTIBLE ROSE VELVET EDP 80ML FEMININO</t>
        </is>
      </c>
      <c r="C738" s="48" t="n">
        <v>80</v>
      </c>
      <c r="D738" s="49" t="inlineStr">
        <is>
          <t>Diseñador</t>
        </is>
      </c>
      <c r="E738" s="50" t="n">
        <v>105</v>
      </c>
      <c r="F738" s="51">
        <f>E738*$B$5*(1+$B$6)</f>
        <v>136500</v>
      </c>
      <c r="G738" s="51">
        <f>F738*$B$7</f>
        <v>341250</v>
      </c>
      <c r="H738" s="51">
        <f>G738-F738</f>
        <v>204750</v>
      </c>
      <c r="I738" s="52">
        <f>H738/G738</f>
        <v>0.6</v>
      </c>
      <c r="J738" s="53" t="n"/>
      <c r="K738" s="54" t="n"/>
    </row>
    <row r="739">
      <c r="A739" s="39" t="inlineStr">
        <is>
          <t>Givenchy</t>
        </is>
      </c>
      <c r="B739" s="47" t="inlineStr">
        <is>
          <t>GIVENCHY L'INTERDIT EDP 80ML FEM</t>
        </is>
      </c>
      <c r="C739" s="48" t="n">
        <v>80</v>
      </c>
      <c r="D739" s="49" t="inlineStr">
        <is>
          <t>Diseñador</t>
        </is>
      </c>
      <c r="E739" s="50" t="n">
        <v>75</v>
      </c>
      <c r="F739" s="51">
        <f>E739*$B$5*(1+$B$6)</f>
        <v>97500</v>
      </c>
      <c r="G739" s="51">
        <f>F739*$B$7</f>
        <v>243750</v>
      </c>
      <c r="H739" s="51">
        <f>G739-F739</f>
        <v>146250</v>
      </c>
      <c r="I739" s="52">
        <f>H739/G739</f>
        <v>0.6</v>
      </c>
      <c r="J739" s="53" t="n"/>
      <c r="K739" s="54" t="n"/>
    </row>
    <row r="740">
      <c r="A740" s="39" t="inlineStr">
        <is>
          <t>Givenchy</t>
        </is>
      </c>
      <c r="B740" s="47" t="inlineStr">
        <is>
          <t>GIVENCHY L'INTERDIT EDT 80ML FEM</t>
        </is>
      </c>
      <c r="C740" s="48" t="n">
        <v>80</v>
      </c>
      <c r="D740" s="49" t="inlineStr">
        <is>
          <t>Diseñador</t>
        </is>
      </c>
      <c r="E740" s="50" t="n">
        <v>65</v>
      </c>
      <c r="F740" s="51">
        <f>E740*$B$5*(1+$B$6)</f>
        <v>84500</v>
      </c>
      <c r="G740" s="51">
        <f>F740*$B$7</f>
        <v>211250</v>
      </c>
      <c r="H740" s="51">
        <f>G740-F740</f>
        <v>126750</v>
      </c>
      <c r="I740" s="52">
        <f>H740/G740</f>
        <v>0.6</v>
      </c>
      <c r="J740" s="53" t="n"/>
      <c r="K740" s="54" t="n"/>
    </row>
    <row r="741">
      <c r="A741" s="39" t="inlineStr">
        <is>
          <t>Givenchy</t>
        </is>
      </c>
      <c r="B741" s="47" t="inlineStr">
        <is>
          <t>GIVENCHY L'INTERDIT PARFUM 80ML FEM</t>
        </is>
      </c>
      <c r="C741" s="48" t="n">
        <v>80</v>
      </c>
      <c r="D741" s="49" t="inlineStr">
        <is>
          <t>Diseñador</t>
        </is>
      </c>
      <c r="E741" s="50" t="n">
        <v>110</v>
      </c>
      <c r="F741" s="51">
        <f>E741*$B$5*(1+$B$6)</f>
        <v>143000</v>
      </c>
      <c r="G741" s="51">
        <f>F741*$B$7</f>
        <v>357500</v>
      </c>
      <c r="H741" s="51">
        <f>G741-F741</f>
        <v>214500</v>
      </c>
      <c r="I741" s="52">
        <f>H741/G741</f>
        <v>0.6</v>
      </c>
      <c r="J741" s="53" t="n"/>
      <c r="K741" s="54" t="n"/>
    </row>
    <row r="742">
      <c r="A742" s="39" t="inlineStr">
        <is>
          <t>Givenchy</t>
        </is>
      </c>
      <c r="B742" s="47" t="inlineStr">
        <is>
          <t>GIVENCHY L'INTERDIT ROUGE EDP 80ML FEMININO</t>
        </is>
      </c>
      <c r="C742" s="48" t="n">
        <v>80</v>
      </c>
      <c r="D742" s="49" t="inlineStr">
        <is>
          <t>Diseñador</t>
        </is>
      </c>
      <c r="E742" s="50" t="n">
        <v>78</v>
      </c>
      <c r="F742" s="51">
        <f>E742*$B$5*(1+$B$6)</f>
        <v>101400</v>
      </c>
      <c r="G742" s="51">
        <f>F742*$B$7</f>
        <v>253500</v>
      </c>
      <c r="H742" s="51">
        <f>G742-F742</f>
        <v>152100</v>
      </c>
      <c r="I742" s="52">
        <f>H742/G742</f>
        <v>0.6</v>
      </c>
      <c r="J742" s="53" t="n"/>
      <c r="K742" s="54" t="n"/>
    </row>
    <row r="743">
      <c r="A743" s="39" t="inlineStr">
        <is>
          <t>Givenchy</t>
        </is>
      </c>
      <c r="B743" s="47" t="inlineStr">
        <is>
          <t>GIVENCHY L'INTERDIT ROUGE ULTIME EDP 80ML</t>
        </is>
      </c>
      <c r="C743" s="48" t="n">
        <v>80</v>
      </c>
      <c r="D743" s="49" t="inlineStr">
        <is>
          <t>Diseñador</t>
        </is>
      </c>
      <c r="E743" s="50" t="n">
        <v>76</v>
      </c>
      <c r="F743" s="51">
        <f>E743*$B$5*(1+$B$6)</f>
        <v>98800</v>
      </c>
      <c r="G743" s="51">
        <f>F743*$B$7</f>
        <v>247000</v>
      </c>
      <c r="H743" s="51">
        <f>G743-F743</f>
        <v>148200</v>
      </c>
      <c r="I743" s="52">
        <f>H743/G743</f>
        <v>0.6</v>
      </c>
      <c r="J743" s="53" t="n"/>
      <c r="K743" s="54" t="n"/>
    </row>
    <row r="744">
      <c r="A744" s="39" t="inlineStr">
        <is>
          <t>Givenchy</t>
        </is>
      </c>
      <c r="B744" s="47" t="inlineStr">
        <is>
          <t>GIVENCHY POUR HOMME BLUE LABEL EDT 100ML</t>
        </is>
      </c>
      <c r="C744" s="48" t="n">
        <v>100</v>
      </c>
      <c r="D744" s="49" t="inlineStr">
        <is>
          <t>Diseñador</t>
        </is>
      </c>
      <c r="E744" s="50" t="n">
        <v>39</v>
      </c>
      <c r="F744" s="51">
        <f>E744*$B$5*(1+$B$6)</f>
        <v>50700</v>
      </c>
      <c r="G744" s="51">
        <f>F744*$B$7</f>
        <v>126750</v>
      </c>
      <c r="H744" s="51">
        <f>G744-F744</f>
        <v>76050</v>
      </c>
      <c r="I744" s="52">
        <f>H744/G744</f>
        <v>0.6</v>
      </c>
      <c r="J744" s="53" t="n"/>
      <c r="K744" s="54" t="n"/>
    </row>
    <row r="745">
      <c r="A745" s="39" t="inlineStr">
        <is>
          <t>Givenchy</t>
        </is>
      </c>
      <c r="B745" s="47" t="inlineStr">
        <is>
          <t>GIVENCHY POUR HOMME EDT 100ML</t>
        </is>
      </c>
      <c r="C745" s="48" t="n">
        <v>100</v>
      </c>
      <c r="D745" s="49" t="inlineStr">
        <is>
          <t>Diseñador</t>
        </is>
      </c>
      <c r="E745" s="50" t="n">
        <v>42</v>
      </c>
      <c r="F745" s="51">
        <f>E745*$B$5*(1+$B$6)</f>
        <v>54600</v>
      </c>
      <c r="G745" s="51">
        <f>F745*$B$7</f>
        <v>136500</v>
      </c>
      <c r="H745" s="51">
        <f>G745-F745</f>
        <v>81900</v>
      </c>
      <c r="I745" s="52">
        <f>H745/G745</f>
        <v>0.6</v>
      </c>
      <c r="J745" s="53" t="n"/>
      <c r="K745" s="54" t="n"/>
    </row>
    <row r="746">
      <c r="A746" s="39" t="inlineStr">
        <is>
          <t>Givenchy</t>
        </is>
      </c>
      <c r="B746" s="47" t="inlineStr">
        <is>
          <t>GIVENCHY VERY IRRESISTIBLE EDP 75ML FEMININO</t>
        </is>
      </c>
      <c r="C746" s="48" t="n">
        <v>75</v>
      </c>
      <c r="D746" s="49" t="inlineStr">
        <is>
          <t>Diseñador</t>
        </is>
      </c>
      <c r="E746" s="50" t="n">
        <v>82</v>
      </c>
      <c r="F746" s="51">
        <f>E746*$B$5*(1+$B$6)</f>
        <v>106600</v>
      </c>
      <c r="G746" s="51">
        <f>F746*$B$7</f>
        <v>266500</v>
      </c>
      <c r="H746" s="51">
        <f>G746-F746</f>
        <v>159900</v>
      </c>
      <c r="I746" s="52">
        <f>H746/G746</f>
        <v>0.6</v>
      </c>
      <c r="J746" s="53" t="n"/>
      <c r="K746" s="54" t="n"/>
    </row>
    <row r="747">
      <c r="A747" s="39" t="inlineStr">
        <is>
          <t>Givenchy</t>
        </is>
      </c>
      <c r="B747" s="47" t="inlineStr">
        <is>
          <t>TESTER GIVENCHY AMARIGE EDT 100ML</t>
        </is>
      </c>
      <c r="C747" s="48" t="n">
        <v>100</v>
      </c>
      <c r="D747" s="49" t="inlineStr">
        <is>
          <t>Tester</t>
        </is>
      </c>
      <c r="E747" s="50" t="n">
        <v>48</v>
      </c>
      <c r="F747" s="51">
        <f>E747*$B$5*(1+$B$6)</f>
        <v>62400</v>
      </c>
      <c r="G747" s="51">
        <f>F747*$B$7</f>
        <v>156000</v>
      </c>
      <c r="H747" s="51">
        <f>G747-F747</f>
        <v>93600</v>
      </c>
      <c r="I747" s="52">
        <f>H747/G747</f>
        <v>0.6</v>
      </c>
      <c r="J747" s="53" t="n"/>
      <c r="K747" s="54" t="n"/>
    </row>
    <row r="748">
      <c r="A748" s="39" t="inlineStr">
        <is>
          <t>Givenchy</t>
        </is>
      </c>
      <c r="B748" s="47" t="inlineStr">
        <is>
          <t>TESTER GIVENCHY ANGE DEMON LE SECRET EDP 100ML</t>
        </is>
      </c>
      <c r="C748" s="48" t="n">
        <v>100</v>
      </c>
      <c r="D748" s="49" t="inlineStr">
        <is>
          <t>Tester</t>
        </is>
      </c>
      <c r="E748" s="50" t="n">
        <v>59</v>
      </c>
      <c r="F748" s="51">
        <f>E748*$B$5*(1+$B$6)</f>
        <v>76700</v>
      </c>
      <c r="G748" s="51">
        <f>F748*$B$7</f>
        <v>191750</v>
      </c>
      <c r="H748" s="51">
        <f>G748-F748</f>
        <v>115050</v>
      </c>
      <c r="I748" s="52">
        <f>H748/G748</f>
        <v>0.6</v>
      </c>
      <c r="J748" s="53" t="n"/>
      <c r="K748" s="54" t="n"/>
    </row>
    <row r="749">
      <c r="A749" s="39" t="inlineStr">
        <is>
          <t>Givenchy</t>
        </is>
      </c>
      <c r="B749" s="47" t="inlineStr">
        <is>
          <t>TESTER GIVENCHY ANGE OU DEMON EDP 100ML</t>
        </is>
      </c>
      <c r="C749" s="48" t="n">
        <v>100</v>
      </c>
      <c r="D749" s="49" t="inlineStr">
        <is>
          <t>Tester</t>
        </is>
      </c>
      <c r="E749" s="50" t="n">
        <v>60</v>
      </c>
      <c r="F749" s="51">
        <f>E749*$B$5*(1+$B$6)</f>
        <v>78000</v>
      </c>
      <c r="G749" s="51">
        <f>F749*$B$7</f>
        <v>195000</v>
      </c>
      <c r="H749" s="51">
        <f>G749-F749</f>
        <v>117000</v>
      </c>
      <c r="I749" s="52">
        <f>H749/G749</f>
        <v>0.6</v>
      </c>
      <c r="J749" s="53" t="n"/>
      <c r="K749" s="54" t="n"/>
    </row>
    <row r="750">
      <c r="A750" s="39" t="inlineStr">
        <is>
          <t>Givenchy</t>
        </is>
      </c>
      <c r="B750" s="47" t="inlineStr">
        <is>
          <t>TESTER GIVENCHY GENTLEMAN EDP 100ML</t>
        </is>
      </c>
      <c r="C750" s="48" t="n">
        <v>100</v>
      </c>
      <c r="D750" s="49" t="inlineStr">
        <is>
          <t>Tester</t>
        </is>
      </c>
      <c r="E750" s="50" t="n">
        <v>59</v>
      </c>
      <c r="F750" s="51">
        <f>E750*$B$5*(1+$B$6)</f>
        <v>76700</v>
      </c>
      <c r="G750" s="51">
        <f>F750*$B$7</f>
        <v>191750</v>
      </c>
      <c r="H750" s="51">
        <f>G750-F750</f>
        <v>115050</v>
      </c>
      <c r="I750" s="52">
        <f>H750/G750</f>
        <v>0.6</v>
      </c>
      <c r="J750" s="53" t="n"/>
      <c r="K750" s="54" t="n"/>
    </row>
    <row r="751">
      <c r="A751" s="39" t="inlineStr">
        <is>
          <t>Givenchy</t>
        </is>
      </c>
      <c r="B751" s="47" t="inlineStr">
        <is>
          <t>TESTER GIVENCHY GENTLEMAN SOCIETY EDP 100ML</t>
        </is>
      </c>
      <c r="C751" s="48" t="n">
        <v>100</v>
      </c>
      <c r="D751" s="49" t="inlineStr">
        <is>
          <t>Tester</t>
        </is>
      </c>
      <c r="E751" s="50" t="n">
        <v>56</v>
      </c>
      <c r="F751" s="51">
        <f>E751*$B$5*(1+$B$6)</f>
        <v>72800</v>
      </c>
      <c r="G751" s="51">
        <f>F751*$B$7</f>
        <v>182000</v>
      </c>
      <c r="H751" s="51">
        <f>G751-F751</f>
        <v>109200</v>
      </c>
      <c r="I751" s="52">
        <f>H751/G751</f>
        <v>0.6</v>
      </c>
      <c r="J751" s="53" t="n"/>
      <c r="K751" s="54" t="n"/>
    </row>
    <row r="752">
      <c r="A752" s="39" t="inlineStr">
        <is>
          <t>Givenchy</t>
        </is>
      </c>
      <c r="B752" s="47" t="inlineStr">
        <is>
          <t>TESTER GIVENCHY GENTLEMAN SOCIETY EDP AMBREE 100ML</t>
        </is>
      </c>
      <c r="C752" s="48" t="n">
        <v>100</v>
      </c>
      <c r="D752" s="49" t="inlineStr">
        <is>
          <t>Tester</t>
        </is>
      </c>
      <c r="E752" s="50" t="n">
        <v>93</v>
      </c>
      <c r="F752" s="51">
        <f>E752*$B$5*(1+$B$6)</f>
        <v>120900</v>
      </c>
      <c r="G752" s="51">
        <f>F752*$B$7</f>
        <v>302250</v>
      </c>
      <c r="H752" s="51">
        <f>G752-F752</f>
        <v>181350</v>
      </c>
      <c r="I752" s="52">
        <f>H752/G752</f>
        <v>0.6</v>
      </c>
      <c r="J752" s="53" t="n"/>
      <c r="K752" s="54" t="n"/>
    </row>
    <row r="753">
      <c r="A753" s="39" t="inlineStr">
        <is>
          <t>Givenchy</t>
        </is>
      </c>
      <c r="B753" s="47" t="inlineStr">
        <is>
          <t>TESTER GIVENCHY IRRESISTIBLE EDP 80ML</t>
        </is>
      </c>
      <c r="C753" s="48" t="n">
        <v>80</v>
      </c>
      <c r="D753" s="49" t="inlineStr">
        <is>
          <t>Tester</t>
        </is>
      </c>
      <c r="E753" s="50" t="n">
        <v>67</v>
      </c>
      <c r="F753" s="51">
        <f>E753*$B$5*(1+$B$6)</f>
        <v>87100</v>
      </c>
      <c r="G753" s="51">
        <f>F753*$B$7</f>
        <v>217750</v>
      </c>
      <c r="H753" s="51">
        <f>G753-F753</f>
        <v>130650</v>
      </c>
      <c r="I753" s="52">
        <f>H753/G753</f>
        <v>0.6</v>
      </c>
      <c r="J753" s="53" t="n"/>
      <c r="K753" s="54" t="n"/>
    </row>
    <row r="754">
      <c r="A754" s="39" t="inlineStr">
        <is>
          <t>Givenchy</t>
        </is>
      </c>
      <c r="B754" s="47" t="inlineStr">
        <is>
          <t>TESTER GIVENCHY IRRESISTIBLE FRAICHE EDT 80ML</t>
        </is>
      </c>
      <c r="C754" s="48" t="n">
        <v>80</v>
      </c>
      <c r="D754" s="49" t="inlineStr">
        <is>
          <t>Tester</t>
        </is>
      </c>
      <c r="E754" s="50" t="n">
        <v>55</v>
      </c>
      <c r="F754" s="51">
        <f>E754*$B$5*(1+$B$6)</f>
        <v>71500</v>
      </c>
      <c r="G754" s="51">
        <f>F754*$B$7</f>
        <v>178750</v>
      </c>
      <c r="H754" s="51">
        <f>G754-F754</f>
        <v>107250</v>
      </c>
      <c r="I754" s="52">
        <f>H754/G754</f>
        <v>0.6</v>
      </c>
      <c r="J754" s="53" t="n"/>
      <c r="K754" s="54" t="n"/>
    </row>
    <row r="755">
      <c r="A755" s="39" t="inlineStr">
        <is>
          <t>Givenchy</t>
        </is>
      </c>
      <c r="B755" s="47" t="inlineStr">
        <is>
          <t>TESTER GIVENCHY IRRESISTIBLE NUDE VELVET EDP 80ML</t>
        </is>
      </c>
      <c r="C755" s="48" t="n">
        <v>80</v>
      </c>
      <c r="D755" s="49" t="inlineStr">
        <is>
          <t>Tester</t>
        </is>
      </c>
      <c r="E755" s="50" t="n">
        <v>58</v>
      </c>
      <c r="F755" s="51">
        <f>E755*$B$5*(1+$B$6)</f>
        <v>75400</v>
      </c>
      <c r="G755" s="51">
        <f>F755*$B$7</f>
        <v>188500</v>
      </c>
      <c r="H755" s="51">
        <f>G755-F755</f>
        <v>113100</v>
      </c>
      <c r="I755" s="52">
        <f>H755/G755</f>
        <v>0.6</v>
      </c>
      <c r="J755" s="53" t="n"/>
      <c r="K755" s="54" t="n"/>
    </row>
    <row r="756">
      <c r="A756" s="39" t="inlineStr">
        <is>
          <t>Givenchy</t>
        </is>
      </c>
      <c r="B756" s="47" t="inlineStr">
        <is>
          <t>TESTER GIVENCHY IRRESISTIBLE ROSE VELVET EDP 80ML FEMININO</t>
        </is>
      </c>
      <c r="C756" s="48" t="n">
        <v>80</v>
      </c>
      <c r="D756" s="49" t="inlineStr">
        <is>
          <t>Tester</t>
        </is>
      </c>
      <c r="E756" s="50" t="n">
        <v>85</v>
      </c>
      <c r="F756" s="51">
        <f>E756*$B$5*(1+$B$6)</f>
        <v>110500</v>
      </c>
      <c r="G756" s="51">
        <f>F756*$B$7</f>
        <v>276250</v>
      </c>
      <c r="H756" s="51">
        <f>G756-F756</f>
        <v>165750</v>
      </c>
      <c r="I756" s="52">
        <f>H756/G756</f>
        <v>0.6</v>
      </c>
      <c r="J756" s="53" t="n"/>
      <c r="K756" s="54" t="n"/>
    </row>
    <row r="757">
      <c r="A757" s="39" t="inlineStr">
        <is>
          <t>Givenchy</t>
        </is>
      </c>
      <c r="B757" s="47" t="inlineStr">
        <is>
          <t>TESTER GIVENCHY IRRESISTIBLE VERY FLORAL EDP 80ML</t>
        </is>
      </c>
      <c r="C757" s="48" t="n">
        <v>80</v>
      </c>
      <c r="D757" s="49" t="inlineStr">
        <is>
          <t>Tester</t>
        </is>
      </c>
      <c r="E757" s="50" t="n">
        <v>54</v>
      </c>
      <c r="F757" s="51">
        <f>E757*$B$5*(1+$B$6)</f>
        <v>70200</v>
      </c>
      <c r="G757" s="51">
        <f>F757*$B$7</f>
        <v>175500</v>
      </c>
      <c r="H757" s="51">
        <f>G757-F757</f>
        <v>105300</v>
      </c>
      <c r="I757" s="52">
        <f>H757/G757</f>
        <v>0.6</v>
      </c>
      <c r="J757" s="53" t="n"/>
      <c r="K757" s="54" t="n"/>
    </row>
    <row r="758">
      <c r="A758" s="39" t="inlineStr">
        <is>
          <t>Givenchy</t>
        </is>
      </c>
      <c r="B758" s="47" t="inlineStr">
        <is>
          <t>TESTER GIVENCHY L'INTERDIT EDP 80ML</t>
        </is>
      </c>
      <c r="C758" s="48" t="n">
        <v>80</v>
      </c>
      <c r="D758" s="49" t="inlineStr">
        <is>
          <t>Tester</t>
        </is>
      </c>
      <c r="E758" s="50" t="n">
        <v>69</v>
      </c>
      <c r="F758" s="51">
        <f>E758*$B$5*(1+$B$6)</f>
        <v>89700</v>
      </c>
      <c r="G758" s="51">
        <f>F758*$B$7</f>
        <v>224250</v>
      </c>
      <c r="H758" s="51">
        <f>G758-F758</f>
        <v>134550</v>
      </c>
      <c r="I758" s="52">
        <f>H758/G758</f>
        <v>0.6</v>
      </c>
      <c r="J758" s="53" t="n"/>
      <c r="K758" s="54" t="n"/>
    </row>
    <row r="759">
      <c r="A759" s="39" t="inlineStr">
        <is>
          <t>Givenchy</t>
        </is>
      </c>
      <c r="B759" s="47" t="inlineStr">
        <is>
          <t>TESTER GIVENCHY L'INTERDIT INTENSE ABSOLU EDP 80ML</t>
        </is>
      </c>
      <c r="C759" s="48" t="n">
        <v>80</v>
      </c>
      <c r="D759" s="49" t="inlineStr">
        <is>
          <t>Tester</t>
        </is>
      </c>
      <c r="E759" s="50" t="n">
        <v>90</v>
      </c>
      <c r="F759" s="51">
        <f>E759*$B$5*(1+$B$6)</f>
        <v>117000</v>
      </c>
      <c r="G759" s="51">
        <f>F759*$B$7</f>
        <v>292500</v>
      </c>
      <c r="H759" s="51">
        <f>G759-F759</f>
        <v>175500</v>
      </c>
      <c r="I759" s="52">
        <f>H759/G759</f>
        <v>0.6</v>
      </c>
      <c r="J759" s="53" t="n"/>
      <c r="K759" s="54" t="n"/>
    </row>
    <row r="760">
      <c r="A760" s="39" t="inlineStr">
        <is>
          <t>Givenchy</t>
        </is>
      </c>
      <c r="B760" s="47" t="inlineStr">
        <is>
          <t>TESTER GIVENCHY L'INTERDIT ROUGE EDP 80ML</t>
        </is>
      </c>
      <c r="C760" s="48" t="n">
        <v>80</v>
      </c>
      <c r="D760" s="49" t="inlineStr">
        <is>
          <t>Tester</t>
        </is>
      </c>
      <c r="E760" s="50" t="n">
        <v>70</v>
      </c>
      <c r="F760" s="51">
        <f>E760*$B$5*(1+$B$6)</f>
        <v>91000</v>
      </c>
      <c r="G760" s="51">
        <f>F760*$B$7</f>
        <v>227500</v>
      </c>
      <c r="H760" s="51">
        <f>G760-F760</f>
        <v>136500</v>
      </c>
      <c r="I760" s="52">
        <f>H760/G760</f>
        <v>0.6</v>
      </c>
      <c r="J760" s="53" t="n"/>
      <c r="K760" s="54" t="n"/>
    </row>
    <row r="761">
      <c r="A761" s="39" t="inlineStr">
        <is>
          <t>Givenchy</t>
        </is>
      </c>
      <c r="B761" s="47" t="inlineStr">
        <is>
          <t>TESTER GIVENCHY L'INTERDIT ROUGE ULTIME EDP 80ML</t>
        </is>
      </c>
      <c r="C761" s="48" t="n">
        <v>80</v>
      </c>
      <c r="D761" s="49" t="inlineStr">
        <is>
          <t>Tester</t>
        </is>
      </c>
      <c r="E761" s="50" t="n">
        <v>70</v>
      </c>
      <c r="F761" s="51">
        <f>E761*$B$5*(1+$B$6)</f>
        <v>91000</v>
      </c>
      <c r="G761" s="51">
        <f>F761*$B$7</f>
        <v>227500</v>
      </c>
      <c r="H761" s="51">
        <f>G761-F761</f>
        <v>136500</v>
      </c>
      <c r="I761" s="52">
        <f>H761/G761</f>
        <v>0.6</v>
      </c>
      <c r="J761" s="53" t="n"/>
      <c r="K761" s="54" t="n"/>
    </row>
    <row r="762">
      <c r="A762" s="39" t="inlineStr">
        <is>
          <t>Givenchy</t>
        </is>
      </c>
      <c r="B762" s="47" t="inlineStr">
        <is>
          <t>TESTER GIVENCHY PI EDT 100ML</t>
        </is>
      </c>
      <c r="C762" s="48" t="n">
        <v>100</v>
      </c>
      <c r="D762" s="49" t="inlineStr">
        <is>
          <t>Tester</t>
        </is>
      </c>
      <c r="E762" s="50" t="n">
        <v>36</v>
      </c>
      <c r="F762" s="51">
        <f>E762*$B$5*(1+$B$6)</f>
        <v>46800</v>
      </c>
      <c r="G762" s="51">
        <f>F762*$B$7</f>
        <v>117000</v>
      </c>
      <c r="H762" s="51">
        <f>G762-F762</f>
        <v>70200</v>
      </c>
      <c r="I762" s="52">
        <f>H762/G762</f>
        <v>0.6</v>
      </c>
      <c r="J762" s="53" t="n"/>
      <c r="K762" s="54" t="n"/>
    </row>
    <row r="763">
      <c r="A763" s="39" t="inlineStr">
        <is>
          <t>Gres</t>
        </is>
      </c>
      <c r="B763" s="47" t="inlineStr">
        <is>
          <t>GRES CABOTINE EDT 100ML FEM</t>
        </is>
      </c>
      <c r="C763" s="48" t="n">
        <v>100</v>
      </c>
      <c r="D763" s="49" t="inlineStr">
        <is>
          <t>Diseñador</t>
        </is>
      </c>
      <c r="E763" s="50" t="n">
        <v>13</v>
      </c>
      <c r="F763" s="51">
        <f>E763*$B$5*(1+$B$6)</f>
        <v>16900</v>
      </c>
      <c r="G763" s="51">
        <f>F763*$B$7</f>
        <v>42250</v>
      </c>
      <c r="H763" s="51">
        <f>G763-F763</f>
        <v>25350</v>
      </c>
      <c r="I763" s="52">
        <f>H763/G763</f>
        <v>0.6</v>
      </c>
      <c r="J763" s="53" t="n"/>
      <c r="K763" s="54" t="n"/>
    </row>
    <row r="764">
      <c r="A764" s="39" t="inlineStr">
        <is>
          <t>Gres</t>
        </is>
      </c>
      <c r="B764" s="47" t="inlineStr">
        <is>
          <t>TESTER GRES CABOTINE EDT 100ML FEM S/T</t>
        </is>
      </c>
      <c r="C764" s="48" t="n">
        <v>100</v>
      </c>
      <c r="D764" s="49" t="inlineStr">
        <is>
          <t>Tester</t>
        </is>
      </c>
      <c r="E764" s="50" t="n">
        <v>10.5</v>
      </c>
      <c r="F764" s="51">
        <f>E764*$B$5*(1+$B$6)</f>
        <v>13650</v>
      </c>
      <c r="G764" s="51">
        <f>F764*$B$7</f>
        <v>34125</v>
      </c>
      <c r="H764" s="51">
        <f>G764-F764</f>
        <v>20475</v>
      </c>
      <c r="I764" s="52">
        <f>H764/G764</f>
        <v>0.6</v>
      </c>
      <c r="J764" s="53" t="n"/>
      <c r="K764" s="54" t="n"/>
    </row>
    <row r="765">
      <c r="A765" s="39" t="inlineStr">
        <is>
          <t>Gritti</t>
        </is>
      </c>
      <c r="B765" s="47" t="inlineStr">
        <is>
          <t>GRITTI ADELE EDP 100ML FEM</t>
        </is>
      </c>
      <c r="C765" s="48" t="n">
        <v>100</v>
      </c>
      <c r="D765" s="49" t="inlineStr">
        <is>
          <t>Nicho</t>
        </is>
      </c>
      <c r="E765" s="50" t="n">
        <v>135</v>
      </c>
      <c r="F765" s="51">
        <f>E765*$B$5*(1+$B$6)</f>
        <v>175500</v>
      </c>
      <c r="G765" s="51">
        <f>F765*$B$7</f>
        <v>438750</v>
      </c>
      <c r="H765" s="51">
        <f>G765-F765</f>
        <v>263250</v>
      </c>
      <c r="I765" s="52">
        <f>H765/G765</f>
        <v>0.6</v>
      </c>
      <c r="J765" s="53" t="n"/>
      <c r="K765" s="54" t="n"/>
    </row>
    <row r="766">
      <c r="A766" s="39" t="inlineStr">
        <is>
          <t>Gritti</t>
        </is>
      </c>
      <c r="B766" s="47" t="inlineStr">
        <is>
          <t>GRITTI GOSSIP NIGHT EDP 100ML FEM</t>
        </is>
      </c>
      <c r="C766" s="48" t="n">
        <v>100</v>
      </c>
      <c r="D766" s="49" t="inlineStr">
        <is>
          <t>Nicho</t>
        </is>
      </c>
      <c r="E766" s="50" t="n">
        <v>150</v>
      </c>
      <c r="F766" s="51">
        <f>E766*$B$5*(1+$B$6)</f>
        <v>195000</v>
      </c>
      <c r="G766" s="51">
        <f>F766*$B$7</f>
        <v>487500</v>
      </c>
      <c r="H766" s="51">
        <f>G766-F766</f>
        <v>292500</v>
      </c>
      <c r="I766" s="52">
        <f>H766/G766</f>
        <v>0.6</v>
      </c>
      <c r="J766" s="53" t="n"/>
      <c r="K766" s="54" t="n"/>
    </row>
    <row r="767">
      <c r="A767" s="39" t="inlineStr">
        <is>
          <t>Gritti</t>
        </is>
      </c>
      <c r="B767" s="47" t="inlineStr">
        <is>
          <t>GRITTI HYSTERICA EDP 100ML FEM (CX FEIA)</t>
        </is>
      </c>
      <c r="C767" s="48" t="n">
        <v>100</v>
      </c>
      <c r="D767" s="49" t="inlineStr">
        <is>
          <t>Nicho</t>
        </is>
      </c>
      <c r="E767" s="50" t="n">
        <v>162</v>
      </c>
      <c r="F767" s="51">
        <f>E767*$B$5*(1+$B$6)</f>
        <v>210600</v>
      </c>
      <c r="G767" s="51">
        <f>F767*$B$7</f>
        <v>526500</v>
      </c>
      <c r="H767" s="51">
        <f>G767-F767</f>
        <v>315900</v>
      </c>
      <c r="I767" s="52">
        <f>H767/G767</f>
        <v>0.6</v>
      </c>
      <c r="J767" s="53" t="n"/>
      <c r="K767" s="54" t="n"/>
    </row>
    <row r="768">
      <c r="A768" s="39" t="inlineStr">
        <is>
          <t>Gritti</t>
        </is>
      </c>
      <c r="B768" s="47" t="inlineStr">
        <is>
          <t>GRITTI PRELUDIO EDP 100ML UNISEX</t>
        </is>
      </c>
      <c r="C768" s="48" t="n">
        <v>100</v>
      </c>
      <c r="D768" s="49" t="inlineStr">
        <is>
          <t>Nicho</t>
        </is>
      </c>
      <c r="E768" s="50" t="n">
        <v>175</v>
      </c>
      <c r="F768" s="51">
        <f>E768*$B$5*(1+$B$6)</f>
        <v>227500</v>
      </c>
      <c r="G768" s="51">
        <f>F768*$B$7</f>
        <v>568750</v>
      </c>
      <c r="H768" s="51">
        <f>G768-F768</f>
        <v>341250</v>
      </c>
      <c r="I768" s="52">
        <f>H768/G768</f>
        <v>0.6</v>
      </c>
      <c r="J768" s="53" t="n"/>
      <c r="K768" s="54" t="n"/>
    </row>
    <row r="769">
      <c r="A769" s="39" t="inlineStr">
        <is>
          <t>Gritti</t>
        </is>
      </c>
      <c r="B769" s="47" t="inlineStr">
        <is>
          <t>GRITTI PURO EXTRAIT DE PARFUM 100ML</t>
        </is>
      </c>
      <c r="C769" s="48" t="n">
        <v>100</v>
      </c>
      <c r="D769" s="49" t="inlineStr">
        <is>
          <t>Nicho</t>
        </is>
      </c>
      <c r="E769" s="50" t="n">
        <v>190</v>
      </c>
      <c r="F769" s="51">
        <f>E769*$B$5*(1+$B$6)</f>
        <v>247000</v>
      </c>
      <c r="G769" s="51">
        <f>F769*$B$7</f>
        <v>617500</v>
      </c>
      <c r="H769" s="51">
        <f>G769-F769</f>
        <v>370500</v>
      </c>
      <c r="I769" s="52">
        <f>H769/G769</f>
        <v>0.6</v>
      </c>
      <c r="J769" s="53" t="n"/>
      <c r="K769" s="54" t="n"/>
    </row>
    <row r="770">
      <c r="A770" s="39" t="inlineStr">
        <is>
          <t>Gritti</t>
        </is>
      </c>
      <c r="B770" s="47" t="inlineStr">
        <is>
          <t>GRITTI REBRODE EDP 100ML UNISEX</t>
        </is>
      </c>
      <c r="C770" s="48" t="n">
        <v>100</v>
      </c>
      <c r="D770" s="49" t="inlineStr">
        <is>
          <t>Nicho</t>
        </is>
      </c>
      <c r="E770" s="50" t="n">
        <v>110</v>
      </c>
      <c r="F770" s="51">
        <f>E770*$B$5*(1+$B$6)</f>
        <v>143000</v>
      </c>
      <c r="G770" s="51">
        <f>F770*$B$7</f>
        <v>357500</v>
      </c>
      <c r="H770" s="51">
        <f>G770-F770</f>
        <v>214500</v>
      </c>
      <c r="I770" s="52">
        <f>H770/G770</f>
        <v>0.6</v>
      </c>
      <c r="J770" s="53" t="n"/>
      <c r="K770" s="54" t="n"/>
    </row>
    <row r="771">
      <c r="A771" s="39" t="inlineStr">
        <is>
          <t>Gritti</t>
        </is>
      </c>
      <c r="B771" s="47" t="inlineStr">
        <is>
          <t>GRITTI SETA EXTRAIT DE PARFUM 100ML UNISEX</t>
        </is>
      </c>
      <c r="C771" s="48" t="n">
        <v>100</v>
      </c>
      <c r="D771" s="49" t="inlineStr">
        <is>
          <t>Nicho</t>
        </is>
      </c>
      <c r="E771" s="50" t="n">
        <v>187</v>
      </c>
      <c r="F771" s="51">
        <f>E771*$B$5*(1+$B$6)</f>
        <v>243100</v>
      </c>
      <c r="G771" s="51">
        <f>F771*$B$7</f>
        <v>607750</v>
      </c>
      <c r="H771" s="51">
        <f>G771-F771</f>
        <v>364650</v>
      </c>
      <c r="I771" s="52">
        <f>H771/G771</f>
        <v>0.6</v>
      </c>
      <c r="J771" s="53" t="n"/>
      <c r="K771" s="54" t="n"/>
    </row>
    <row r="772">
      <c r="A772" s="39" t="inlineStr">
        <is>
          <t>Gritti</t>
        </is>
      </c>
      <c r="B772" s="47" t="inlineStr">
        <is>
          <t>GRITTI TUTU EXTRAIT DE PARFUM 100ML</t>
        </is>
      </c>
      <c r="C772" s="48" t="n">
        <v>100</v>
      </c>
      <c r="D772" s="49" t="inlineStr">
        <is>
          <t>Nicho</t>
        </is>
      </c>
      <c r="E772" s="50" t="n">
        <v>169</v>
      </c>
      <c r="F772" s="51">
        <f>E772*$B$5*(1+$B$6)</f>
        <v>219700</v>
      </c>
      <c r="G772" s="51">
        <f>F772*$B$7</f>
        <v>549250</v>
      </c>
      <c r="H772" s="51">
        <f>G772-F772</f>
        <v>329550</v>
      </c>
      <c r="I772" s="52">
        <f>H772/G772</f>
        <v>0.6</v>
      </c>
      <c r="J772" s="53" t="n"/>
      <c r="K772" s="54" t="n"/>
    </row>
    <row r="773">
      <c r="A773" s="39" t="inlineStr">
        <is>
          <t>Gucci</t>
        </is>
      </c>
      <c r="B773" s="47" t="inlineStr">
        <is>
          <t>GUCCI BAMBOO EDP 75ML</t>
        </is>
      </c>
      <c r="C773" s="48" t="n">
        <v>75</v>
      </c>
      <c r="D773" s="49" t="inlineStr">
        <is>
          <t>Diseñador</t>
        </is>
      </c>
      <c r="E773" s="50" t="n">
        <v>78</v>
      </c>
      <c r="F773" s="51">
        <f>E773*$B$5*(1+$B$6)</f>
        <v>101400</v>
      </c>
      <c r="G773" s="51">
        <f>F773*$B$7</f>
        <v>253500</v>
      </c>
      <c r="H773" s="51">
        <f>G773-F773</f>
        <v>152100</v>
      </c>
      <c r="I773" s="52">
        <f>H773/G773</f>
        <v>0.6</v>
      </c>
      <c r="J773" s="53" t="n"/>
      <c r="K773" s="54" t="n"/>
    </row>
    <row r="774">
      <c r="A774" s="39" t="inlineStr">
        <is>
          <t>Gucci</t>
        </is>
      </c>
      <c r="B774" s="47" t="inlineStr">
        <is>
          <t>GUCCI BLOOM EDP 100ML FEM</t>
        </is>
      </c>
      <c r="C774" s="48" t="n">
        <v>100</v>
      </c>
      <c r="D774" s="49" t="inlineStr">
        <is>
          <t>Diseñador</t>
        </is>
      </c>
      <c r="E774" s="50" t="n">
        <v>77.5</v>
      </c>
      <c r="F774" s="51">
        <f>E774*$B$5*(1+$B$6)</f>
        <v>100750</v>
      </c>
      <c r="G774" s="51">
        <f>F774*$B$7</f>
        <v>251875</v>
      </c>
      <c r="H774" s="51">
        <f>G774-F774</f>
        <v>151125</v>
      </c>
      <c r="I774" s="52">
        <f>H774/G774</f>
        <v>0.6</v>
      </c>
      <c r="J774" s="53" t="n"/>
      <c r="K774" s="54" t="n"/>
    </row>
    <row r="775">
      <c r="A775" s="39" t="inlineStr">
        <is>
          <t>Gucci</t>
        </is>
      </c>
      <c r="B775" s="47" t="inlineStr">
        <is>
          <t>GUCCI BLOOM EDT 100ML FEM</t>
        </is>
      </c>
      <c r="C775" s="48" t="n">
        <v>100</v>
      </c>
      <c r="D775" s="49" t="inlineStr">
        <is>
          <t>Diseñador</t>
        </is>
      </c>
      <c r="E775" s="50" t="n">
        <v>78</v>
      </c>
      <c r="F775" s="51">
        <f>E775*$B$5*(1+$B$6)</f>
        <v>101400</v>
      </c>
      <c r="G775" s="51">
        <f>F775*$B$7</f>
        <v>253500</v>
      </c>
      <c r="H775" s="51">
        <f>G775-F775</f>
        <v>152100</v>
      </c>
      <c r="I775" s="52">
        <f>H775/G775</f>
        <v>0.6</v>
      </c>
      <c r="J775" s="53" t="n"/>
      <c r="K775" s="54" t="n"/>
    </row>
    <row r="776">
      <c r="A776" s="39" t="inlineStr">
        <is>
          <t>Gucci</t>
        </is>
      </c>
      <c r="B776" s="47" t="inlineStr">
        <is>
          <t>GUCCI BLOOM PROFUMO DI FIORI EDP 100ML</t>
        </is>
      </c>
      <c r="C776" s="48" t="n">
        <v>100</v>
      </c>
      <c r="D776" s="49" t="inlineStr">
        <is>
          <t>Diseñador</t>
        </is>
      </c>
      <c r="E776" s="50" t="n">
        <v>92</v>
      </c>
      <c r="F776" s="51">
        <f>E776*$B$5*(1+$B$6)</f>
        <v>119600</v>
      </c>
      <c r="G776" s="51">
        <f>F776*$B$7</f>
        <v>299000</v>
      </c>
      <c r="H776" s="51">
        <f>G776-F776</f>
        <v>179400</v>
      </c>
      <c r="I776" s="52">
        <f>H776/G776</f>
        <v>0.6</v>
      </c>
      <c r="J776" s="53" t="n"/>
      <c r="K776" s="54" t="n"/>
    </row>
    <row r="777">
      <c r="A777" s="39" t="inlineStr">
        <is>
          <t>Gucci</t>
        </is>
      </c>
      <c r="B777" s="47" t="inlineStr">
        <is>
          <t>GUCCI FLORA EDP 75ML</t>
        </is>
      </c>
      <c r="C777" s="48" t="n">
        <v>75</v>
      </c>
      <c r="D777" s="49" t="inlineStr">
        <is>
          <t>Diseñador</t>
        </is>
      </c>
      <c r="E777" s="50" t="n">
        <v>80</v>
      </c>
      <c r="F777" s="51">
        <f>E777*$B$5*(1+$B$6)</f>
        <v>104000</v>
      </c>
      <c r="G777" s="51">
        <f>F777*$B$7</f>
        <v>260000</v>
      </c>
      <c r="H777" s="51">
        <f>G777-F777</f>
        <v>156000</v>
      </c>
      <c r="I777" s="52">
        <f>H777/G777</f>
        <v>0.6</v>
      </c>
      <c r="J777" s="53" t="n"/>
      <c r="K777" s="54" t="n"/>
    </row>
    <row r="778">
      <c r="A778" s="39" t="inlineStr">
        <is>
          <t>Gucci</t>
        </is>
      </c>
      <c r="B778" s="47" t="inlineStr">
        <is>
          <t>GUCCI FLORA GORGEOUS MAGNOLIA EDP 100ML</t>
        </is>
      </c>
      <c r="C778" s="48" t="n">
        <v>100</v>
      </c>
      <c r="D778" s="49" t="inlineStr">
        <is>
          <t>Diseñador</t>
        </is>
      </c>
      <c r="E778" s="50" t="n">
        <v>97</v>
      </c>
      <c r="F778" s="51">
        <f>E778*$B$5*(1+$B$6)</f>
        <v>126100</v>
      </c>
      <c r="G778" s="51">
        <f>F778*$B$7</f>
        <v>315250</v>
      </c>
      <c r="H778" s="51">
        <f>G778-F778</f>
        <v>189150</v>
      </c>
      <c r="I778" s="52">
        <f>H778/G778</f>
        <v>0.6</v>
      </c>
      <c r="J778" s="53" t="n"/>
      <c r="K778" s="54" t="n"/>
    </row>
    <row r="779">
      <c r="A779" s="39" t="inlineStr">
        <is>
          <t>Gucci</t>
        </is>
      </c>
      <c r="B779" s="47" t="inlineStr">
        <is>
          <t>GUCCI LOVE AT YOUR DARKEST EDP 100ML</t>
        </is>
      </c>
      <c r="C779" s="48" t="n">
        <v>100</v>
      </c>
      <c r="D779" s="49" t="inlineStr">
        <is>
          <t>Diseñador</t>
        </is>
      </c>
      <c r="E779" s="50" t="n">
        <v>215</v>
      </c>
      <c r="F779" s="51">
        <f>E779*$B$5*(1+$B$6)</f>
        <v>279500</v>
      </c>
      <c r="G779" s="51">
        <f>F779*$B$7</f>
        <v>698750</v>
      </c>
      <c r="H779" s="51">
        <f>G779-F779</f>
        <v>419250</v>
      </c>
      <c r="I779" s="52">
        <f>H779/G779</f>
        <v>0.6</v>
      </c>
      <c r="J779" s="53" t="n"/>
      <c r="K779" s="54" t="n"/>
    </row>
    <row r="780">
      <c r="A780" s="39" t="inlineStr">
        <is>
          <t>Gucci</t>
        </is>
      </c>
      <c r="B780" s="47" t="inlineStr">
        <is>
          <t>GUCCI MOONLIGHT SERENADE PERFUMED WATER 150ML</t>
        </is>
      </c>
      <c r="C780" s="48" t="n">
        <v>150</v>
      </c>
      <c r="D780" s="49" t="inlineStr">
        <is>
          <t>Diseñador</t>
        </is>
      </c>
      <c r="E780" s="50" t="n">
        <v>180</v>
      </c>
      <c r="F780" s="51">
        <f>E780*$B$5*(1+$B$6)</f>
        <v>234000</v>
      </c>
      <c r="G780" s="51">
        <f>F780*$B$7</f>
        <v>585000</v>
      </c>
      <c r="H780" s="51">
        <f>G780-F780</f>
        <v>351000</v>
      </c>
      <c r="I780" s="52">
        <f>H780/G780</f>
        <v>0.6</v>
      </c>
      <c r="J780" s="53" t="n"/>
      <c r="K780" s="54" t="n"/>
    </row>
    <row r="781">
      <c r="A781" s="39" t="inlineStr">
        <is>
          <t>Gucci</t>
        </is>
      </c>
      <c r="B781" s="47" t="inlineStr">
        <is>
          <t>GUCCI WINTER'S SPRING EDP 100ML</t>
        </is>
      </c>
      <c r="C781" s="48" t="n">
        <v>100</v>
      </c>
      <c r="D781" s="49" t="inlineStr">
        <is>
          <t>Diseñador</t>
        </is>
      </c>
      <c r="E781" s="50" t="n">
        <v>190</v>
      </c>
      <c r="F781" s="51">
        <f>E781*$B$5*(1+$B$6)</f>
        <v>247000</v>
      </c>
      <c r="G781" s="51">
        <f>F781*$B$7</f>
        <v>617500</v>
      </c>
      <c r="H781" s="51">
        <f>G781-F781</f>
        <v>370500</v>
      </c>
      <c r="I781" s="52">
        <f>H781/G781</f>
        <v>0.6</v>
      </c>
      <c r="J781" s="53" t="n"/>
      <c r="K781" s="54" t="n"/>
    </row>
    <row r="782">
      <c r="A782" s="39" t="inlineStr">
        <is>
          <t>Gucci</t>
        </is>
      </c>
      <c r="B782" s="47" t="inlineStr">
        <is>
          <t>TESTER GUCCI GUILTY POUR HOMME EDT 90ML</t>
        </is>
      </c>
      <c r="C782" s="48" t="n">
        <v>90</v>
      </c>
      <c r="D782" s="49" t="inlineStr">
        <is>
          <t>Tester</t>
        </is>
      </c>
      <c r="E782" s="50" t="n">
        <v>56</v>
      </c>
      <c r="F782" s="51">
        <f>E782*$B$5*(1+$B$6)</f>
        <v>72800</v>
      </c>
      <c r="G782" s="51">
        <f>F782*$B$7</f>
        <v>182000</v>
      </c>
      <c r="H782" s="51">
        <f>G782-F782</f>
        <v>109200</v>
      </c>
      <c r="I782" s="52">
        <f>H782/G782</f>
        <v>0.6</v>
      </c>
      <c r="J782" s="53" t="n"/>
      <c r="K782" s="54" t="n"/>
    </row>
    <row r="783">
      <c r="A783" s="39" t="inlineStr">
        <is>
          <t>Guerlain</t>
        </is>
      </c>
      <c r="B783" s="47" t="inlineStr">
        <is>
          <t>GUERLAIN SHALIMAR EDP 90ML FEM</t>
        </is>
      </c>
      <c r="C783" s="48" t="n">
        <v>90</v>
      </c>
      <c r="D783" s="49" t="inlineStr">
        <is>
          <t>Diseñador</t>
        </is>
      </c>
      <c r="E783" s="50" t="n">
        <v>90</v>
      </c>
      <c r="F783" s="51">
        <f>E783*$B$5*(1+$B$6)</f>
        <v>117000</v>
      </c>
      <c r="G783" s="51">
        <f>F783*$B$7</f>
        <v>292500</v>
      </c>
      <c r="H783" s="51">
        <f>G783-F783</f>
        <v>175500</v>
      </c>
      <c r="I783" s="52">
        <f>H783/G783</f>
        <v>0.6</v>
      </c>
      <c r="J783" s="53" t="n"/>
      <c r="K783" s="54" t="n"/>
    </row>
    <row r="784">
      <c r="A784" s="39" t="inlineStr">
        <is>
          <t>Guerlain</t>
        </is>
      </c>
      <c r="B784" s="47" t="inlineStr">
        <is>
          <t>Insolence EDP (fem)</t>
        </is>
      </c>
      <c r="C784" s="48" t="n">
        <v>75</v>
      </c>
      <c r="D784" s="49" t="inlineStr">
        <is>
          <t>Diseñador</t>
        </is>
      </c>
      <c r="E784" s="50" t="n">
        <v>92</v>
      </c>
      <c r="F784" s="51">
        <f>E784*$B$5*(1+$B$6)</f>
        <v>119600</v>
      </c>
      <c r="G784" s="51">
        <f>F784*$B$7</f>
        <v>299000</v>
      </c>
      <c r="H784" s="51">
        <f>G784-F784</f>
        <v>179400</v>
      </c>
      <c r="I784" s="52">
        <f>H784/G784</f>
        <v>0.6</v>
      </c>
      <c r="J784" s="53" t="n"/>
      <c r="K784" s="54" t="n"/>
    </row>
    <row r="785">
      <c r="A785" s="39" t="inlineStr">
        <is>
          <t>Guy Laroche</t>
        </is>
      </c>
      <c r="B785" s="47" t="inlineStr">
        <is>
          <t>GUY LAROCHE DRAKKAR NOIR EDT 200ML MASC</t>
        </is>
      </c>
      <c r="C785" s="48" t="n">
        <v>200</v>
      </c>
      <c r="D785" s="49" t="inlineStr">
        <is>
          <t>Diseñador</t>
        </is>
      </c>
      <c r="E785" s="50" t="n">
        <v>24</v>
      </c>
      <c r="F785" s="51">
        <f>E785*$B$5*(1+$B$6)</f>
        <v>31200</v>
      </c>
      <c r="G785" s="51">
        <f>F785*$B$7</f>
        <v>78000</v>
      </c>
      <c r="H785" s="51">
        <f>G785-F785</f>
        <v>46800</v>
      </c>
      <c r="I785" s="52">
        <f>H785/G785</f>
        <v>0.6</v>
      </c>
      <c r="J785" s="53" t="n"/>
      <c r="K785" s="54" t="n"/>
    </row>
    <row r="786">
      <c r="A786" s="39" t="inlineStr">
        <is>
          <t>Halloween</t>
        </is>
      </c>
      <c r="B786" s="47" t="inlineStr">
        <is>
          <t>HALLOWEEN EDT 100ML FEM</t>
        </is>
      </c>
      <c r="C786" s="48" t="n">
        <v>100</v>
      </c>
      <c r="D786" s="49" t="inlineStr">
        <is>
          <t>Diseñador</t>
        </is>
      </c>
      <c r="E786" s="50" t="n">
        <v>34</v>
      </c>
      <c r="F786" s="51">
        <f>E786*$B$5*(1+$B$6)</f>
        <v>44200</v>
      </c>
      <c r="G786" s="51">
        <f>F786*$B$7</f>
        <v>110500</v>
      </c>
      <c r="H786" s="51">
        <f>G786-F786</f>
        <v>66300</v>
      </c>
      <c r="I786" s="52">
        <f>H786/G786</f>
        <v>0.6</v>
      </c>
      <c r="J786" s="53" t="n"/>
      <c r="K786" s="54" t="n"/>
    </row>
    <row r="787">
      <c r="A787" s="39" t="inlineStr">
        <is>
          <t>Halloween</t>
        </is>
      </c>
      <c r="B787" s="47" t="inlineStr">
        <is>
          <t>HALLOWEEN FLEUR EDT 100ML FEM</t>
        </is>
      </c>
      <c r="C787" s="48" t="n">
        <v>100</v>
      </c>
      <c r="D787" s="49" t="inlineStr">
        <is>
          <t>Diseñador</t>
        </is>
      </c>
      <c r="E787" s="50" t="n">
        <v>25</v>
      </c>
      <c r="F787" s="51">
        <f>E787*$B$5*(1+$B$6)</f>
        <v>32500</v>
      </c>
      <c r="G787" s="51">
        <f>F787*$B$7</f>
        <v>81250</v>
      </c>
      <c r="H787" s="51">
        <f>G787-F787</f>
        <v>48750</v>
      </c>
      <c r="I787" s="52">
        <f>H787/G787</f>
        <v>0.6</v>
      </c>
      <c r="J787" s="53" t="n"/>
      <c r="K787" s="54" t="n"/>
    </row>
    <row r="788">
      <c r="A788" s="39" t="inlineStr">
        <is>
          <t>Halloween</t>
        </is>
      </c>
      <c r="B788" s="47" t="inlineStr">
        <is>
          <t>HALLOWEEN FREESIA EDT 100ML</t>
        </is>
      </c>
      <c r="C788" s="48" t="n">
        <v>100</v>
      </c>
      <c r="D788" s="49" t="inlineStr">
        <is>
          <t>Diseñador</t>
        </is>
      </c>
      <c r="E788" s="50" t="n">
        <v>23</v>
      </c>
      <c r="F788" s="51">
        <f>E788*$B$5*(1+$B$6)</f>
        <v>29900</v>
      </c>
      <c r="G788" s="51">
        <f>F788*$B$7</f>
        <v>74750</v>
      </c>
      <c r="H788" s="51">
        <f>G788-F788</f>
        <v>44850</v>
      </c>
      <c r="I788" s="52">
        <f>H788/G788</f>
        <v>0.6</v>
      </c>
      <c r="J788" s="53" t="n"/>
      <c r="K788" s="54" t="n"/>
    </row>
    <row r="789">
      <c r="A789" s="39" t="inlineStr">
        <is>
          <t>Halloween</t>
        </is>
      </c>
      <c r="B789" s="47" t="inlineStr">
        <is>
          <t>HALLOWEEN KISS EDT 100ML FEM</t>
        </is>
      </c>
      <c r="C789" s="48" t="n">
        <v>100</v>
      </c>
      <c r="D789" s="49" t="inlineStr">
        <is>
          <t>Diseñador</t>
        </is>
      </c>
      <c r="E789" s="50" t="n">
        <v>29</v>
      </c>
      <c r="F789" s="51">
        <f>E789*$B$5*(1+$B$6)</f>
        <v>37700</v>
      </c>
      <c r="G789" s="51">
        <f>F789*$B$7</f>
        <v>94250</v>
      </c>
      <c r="H789" s="51">
        <f>G789-F789</f>
        <v>56550</v>
      </c>
      <c r="I789" s="52">
        <f>H789/G789</f>
        <v>0.6</v>
      </c>
      <c r="J789" s="53" t="n"/>
      <c r="K789" s="54" t="n"/>
    </row>
    <row r="790">
      <c r="A790" s="39" t="inlineStr">
        <is>
          <t>Halloween</t>
        </is>
      </c>
      <c r="B790" s="47" t="inlineStr">
        <is>
          <t>HALLOWEEN KISS SEXY EDT 100ML</t>
        </is>
      </c>
      <c r="C790" s="48" t="n">
        <v>100</v>
      </c>
      <c r="D790" s="49" t="inlineStr">
        <is>
          <t>Diseñador</t>
        </is>
      </c>
      <c r="E790" s="50" t="n">
        <v>32</v>
      </c>
      <c r="F790" s="51">
        <f>E790*$B$5*(1+$B$6)</f>
        <v>41600</v>
      </c>
      <c r="G790" s="51">
        <f>F790*$B$7</f>
        <v>104000</v>
      </c>
      <c r="H790" s="51">
        <f>G790-F790</f>
        <v>62400</v>
      </c>
      <c r="I790" s="52">
        <f>H790/G790</f>
        <v>0.6</v>
      </c>
      <c r="J790" s="53" t="n"/>
      <c r="K790" s="54" t="n"/>
    </row>
    <row r="791">
      <c r="A791" s="39" t="inlineStr">
        <is>
          <t>Halloween</t>
        </is>
      </c>
      <c r="B791" s="47" t="inlineStr">
        <is>
          <t>HALLOWEEN MAN EDT 125ML</t>
        </is>
      </c>
      <c r="C791" s="48" t="n">
        <v>125</v>
      </c>
      <c r="D791" s="49" t="inlineStr">
        <is>
          <t>Diseñador</t>
        </is>
      </c>
      <c r="E791" s="50" t="n">
        <v>29</v>
      </c>
      <c r="F791" s="51">
        <f>E791*$B$5*(1+$B$6)</f>
        <v>37700</v>
      </c>
      <c r="G791" s="51">
        <f>F791*$B$7</f>
        <v>94250</v>
      </c>
      <c r="H791" s="51">
        <f>G791-F791</f>
        <v>56550</v>
      </c>
      <c r="I791" s="52">
        <f>H791/G791</f>
        <v>0.6</v>
      </c>
      <c r="J791" s="53" t="n"/>
      <c r="K791" s="54" t="n"/>
    </row>
    <row r="792">
      <c r="A792" s="39" t="inlineStr">
        <is>
          <t>Halloween</t>
        </is>
      </c>
      <c r="B792" s="47" t="inlineStr">
        <is>
          <t>HALLOWEEN MAN HERO EDT 125ML</t>
        </is>
      </c>
      <c r="C792" s="48" t="n">
        <v>125</v>
      </c>
      <c r="D792" s="49" t="inlineStr">
        <is>
          <t>Diseñador</t>
        </is>
      </c>
      <c r="E792" s="50" t="n">
        <v>35</v>
      </c>
      <c r="F792" s="51">
        <f>E792*$B$5*(1+$B$6)</f>
        <v>45500</v>
      </c>
      <c r="G792" s="51">
        <f>F792*$B$7</f>
        <v>113750</v>
      </c>
      <c r="H792" s="51">
        <f>G792-F792</f>
        <v>68250</v>
      </c>
      <c r="I792" s="52">
        <f>H792/G792</f>
        <v>0.6</v>
      </c>
      <c r="J792" s="53" t="n"/>
      <c r="K792" s="54" t="n"/>
    </row>
    <row r="793">
      <c r="A793" s="39" t="inlineStr">
        <is>
          <t>Halloween</t>
        </is>
      </c>
      <c r="B793" s="47" t="inlineStr">
        <is>
          <t>HALLOWEEN MAN ROCK ON EDT 125ML</t>
        </is>
      </c>
      <c r="C793" s="48" t="n">
        <v>125</v>
      </c>
      <c r="D793" s="49" t="inlineStr">
        <is>
          <t>Diseñador</t>
        </is>
      </c>
      <c r="E793" s="50" t="n">
        <v>38</v>
      </c>
      <c r="F793" s="51">
        <f>E793*$B$5*(1+$B$6)</f>
        <v>49400</v>
      </c>
      <c r="G793" s="51">
        <f>F793*$B$7</f>
        <v>123500</v>
      </c>
      <c r="H793" s="51">
        <f>G793-F793</f>
        <v>74100</v>
      </c>
      <c r="I793" s="52">
        <f>H793/G793</f>
        <v>0.6</v>
      </c>
      <c r="J793" s="53" t="n"/>
      <c r="K793" s="54" t="n"/>
    </row>
    <row r="794">
      <c r="A794" s="39" t="inlineStr">
        <is>
          <t>Halloween</t>
        </is>
      </c>
      <c r="B794" s="47" t="inlineStr">
        <is>
          <t>HALLOWEEN MAN X EDT 125ML</t>
        </is>
      </c>
      <c r="C794" s="48" t="n">
        <v>125</v>
      </c>
      <c r="D794" s="49" t="inlineStr">
        <is>
          <t>Diseñador</t>
        </is>
      </c>
      <c r="E794" s="50" t="n">
        <v>35</v>
      </c>
      <c r="F794" s="51">
        <f>E794*$B$5*(1+$B$6)</f>
        <v>45500</v>
      </c>
      <c r="G794" s="51">
        <f>F794*$B$7</f>
        <v>113750</v>
      </c>
      <c r="H794" s="51">
        <f>G794-F794</f>
        <v>68250</v>
      </c>
      <c r="I794" s="52">
        <f>H794/G794</f>
        <v>0.6</v>
      </c>
      <c r="J794" s="53" t="n"/>
      <c r="K794" s="54" t="n"/>
    </row>
    <row r="795">
      <c r="A795" s="39" t="inlineStr">
        <is>
          <t>Halloween</t>
        </is>
      </c>
      <c r="B795" s="47" t="inlineStr">
        <is>
          <t>HALLOWEEN MIA ME MINE EDP 100ML FEM</t>
        </is>
      </c>
      <c r="C795" s="48" t="n">
        <v>100</v>
      </c>
      <c r="D795" s="49" t="inlineStr">
        <is>
          <t>Diseñador</t>
        </is>
      </c>
      <c r="E795" s="50" t="n">
        <v>34</v>
      </c>
      <c r="F795" s="51">
        <f>E795*$B$5*(1+$B$6)</f>
        <v>44200</v>
      </c>
      <c r="G795" s="51">
        <f>F795*$B$7</f>
        <v>110500</v>
      </c>
      <c r="H795" s="51">
        <f>G795-F795</f>
        <v>66300</v>
      </c>
      <c r="I795" s="52">
        <f>H795/G795</f>
        <v>0.6</v>
      </c>
      <c r="J795" s="53" t="n"/>
      <c r="K795" s="54" t="n"/>
    </row>
    <row r="796">
      <c r="A796" s="39" t="inlineStr">
        <is>
          <t>Halloween</t>
        </is>
      </c>
      <c r="B796" s="47" t="inlineStr">
        <is>
          <t>HALLOWEEN MY WISH EDP 100ML FEM</t>
        </is>
      </c>
      <c r="C796" s="48" t="n">
        <v>100</v>
      </c>
      <c r="D796" s="49" t="inlineStr">
        <is>
          <t>Diseñador</t>
        </is>
      </c>
      <c r="E796" s="50" t="n">
        <v>42</v>
      </c>
      <c r="F796" s="51">
        <f>E796*$B$5*(1+$B$6)</f>
        <v>54600</v>
      </c>
      <c r="G796" s="51">
        <f>F796*$B$7</f>
        <v>136500</v>
      </c>
      <c r="H796" s="51">
        <f>G796-F796</f>
        <v>81900</v>
      </c>
      <c r="I796" s="52">
        <f>H796/G796</f>
        <v>0.6</v>
      </c>
      <c r="J796" s="53" t="n"/>
      <c r="K796" s="54" t="n"/>
    </row>
    <row r="797">
      <c r="A797" s="39" t="inlineStr">
        <is>
          <t>Halloween</t>
        </is>
      </c>
      <c r="B797" s="47" t="inlineStr">
        <is>
          <t>HALLOWEEN WATER LILY EDT 100ML FEM</t>
        </is>
      </c>
      <c r="C797" s="48" t="n">
        <v>100</v>
      </c>
      <c r="D797" s="49" t="inlineStr">
        <is>
          <t>Diseñador</t>
        </is>
      </c>
      <c r="E797" s="50" t="n">
        <v>28</v>
      </c>
      <c r="F797" s="51">
        <f>E797*$B$5*(1+$B$6)</f>
        <v>36400</v>
      </c>
      <c r="G797" s="51">
        <f>F797*$B$7</f>
        <v>91000</v>
      </c>
      <c r="H797" s="51">
        <f>G797-F797</f>
        <v>54600</v>
      </c>
      <c r="I797" s="52">
        <f>H797/G797</f>
        <v>0.6</v>
      </c>
      <c r="J797" s="53" t="n"/>
      <c r="K797" s="54" t="n"/>
    </row>
    <row r="798">
      <c r="A798" s="39" t="inlineStr">
        <is>
          <t>Haute Fragrance Company</t>
        </is>
      </c>
      <c r="B798" s="47" t="inlineStr">
        <is>
          <t>HFC HAUTE FRAGRANCE COMPANY DANCING QUEEN EDP 75ML FEM</t>
        </is>
      </c>
      <c r="C798" s="48" t="n">
        <v>75</v>
      </c>
      <c r="D798" s="49" t="inlineStr">
        <is>
          <t>Nicho</t>
        </is>
      </c>
      <c r="E798" s="50" t="n">
        <v>300</v>
      </c>
      <c r="F798" s="51">
        <f>E798*$B$5*(1+$B$6)</f>
        <v>390000</v>
      </c>
      <c r="G798" s="51">
        <f>F798*$B$7</f>
        <v>975000</v>
      </c>
      <c r="H798" s="51">
        <f>G798-F798</f>
        <v>585000</v>
      </c>
      <c r="I798" s="52">
        <f>H798/G798</f>
        <v>0.6</v>
      </c>
      <c r="J798" s="53" t="n"/>
      <c r="K798" s="54" t="n"/>
    </row>
    <row r="799">
      <c r="A799" s="39" t="inlineStr">
        <is>
          <t>Haute Fragrance Company</t>
        </is>
      </c>
      <c r="B799" s="47" t="inlineStr">
        <is>
          <t>HFC HAUTE FRAGRANCE COMPANY DAZZLING GIRLS EDP 75ML FEM</t>
        </is>
      </c>
      <c r="C799" s="48" t="n">
        <v>75</v>
      </c>
      <c r="D799" s="49" t="inlineStr">
        <is>
          <t>Nicho</t>
        </is>
      </c>
      <c r="E799" s="50" t="n">
        <v>300</v>
      </c>
      <c r="F799" s="51">
        <f>E799*$B$5*(1+$B$6)</f>
        <v>390000</v>
      </c>
      <c r="G799" s="51">
        <f>F799*$B$7</f>
        <v>975000</v>
      </c>
      <c r="H799" s="51">
        <f>G799-F799</f>
        <v>585000</v>
      </c>
      <c r="I799" s="52">
        <f>H799/G799</f>
        <v>0.6</v>
      </c>
      <c r="J799" s="53" t="n"/>
      <c r="K799" s="54" t="n"/>
    </row>
    <row r="800">
      <c r="A800" s="39" t="inlineStr">
        <is>
          <t>Haute Fragrance Company</t>
        </is>
      </c>
      <c r="B800" s="47" t="inlineStr">
        <is>
          <t>HFC HAUTE FRAGRANCE COMPANY DIAMOND IN THE SKY EDP 75ML FEM</t>
        </is>
      </c>
      <c r="C800" s="48" t="n">
        <v>75</v>
      </c>
      <c r="D800" s="49" t="inlineStr">
        <is>
          <t>Nicho</t>
        </is>
      </c>
      <c r="E800" s="50" t="n">
        <v>300</v>
      </c>
      <c r="F800" s="51">
        <f>E800*$B$5*(1+$B$6)</f>
        <v>390000</v>
      </c>
      <c r="G800" s="51">
        <f>F800*$B$7</f>
        <v>975000</v>
      </c>
      <c r="H800" s="51">
        <f>G800-F800</f>
        <v>585000</v>
      </c>
      <c r="I800" s="52">
        <f>H800/G800</f>
        <v>0.6</v>
      </c>
      <c r="J800" s="53" t="n"/>
      <c r="K800" s="54" t="n"/>
    </row>
    <row r="801">
      <c r="A801" s="39" t="inlineStr">
        <is>
          <t>Haute Fragrance Company</t>
        </is>
      </c>
      <c r="B801" s="47" t="inlineStr">
        <is>
          <t>HFC HAUTE FRAGRANCE COMPANY DIVINE BLOSSOM EDP 75ML UNISEX</t>
        </is>
      </c>
      <c r="C801" s="48" t="n">
        <v>75</v>
      </c>
      <c r="D801" s="49" t="inlineStr">
        <is>
          <t>Nicho</t>
        </is>
      </c>
      <c r="E801" s="50" t="n">
        <v>300</v>
      </c>
      <c r="F801" s="51">
        <f>E801*$B$5*(1+$B$6)</f>
        <v>390000</v>
      </c>
      <c r="G801" s="51">
        <f>F801*$B$7</f>
        <v>975000</v>
      </c>
      <c r="H801" s="51">
        <f>G801-F801</f>
        <v>585000</v>
      </c>
      <c r="I801" s="52">
        <f>H801/G801</f>
        <v>0.6</v>
      </c>
      <c r="J801" s="53" t="n"/>
      <c r="K801" s="54" t="n"/>
    </row>
    <row r="802">
      <c r="A802" s="39" t="inlineStr">
        <is>
          <t>Haute Fragrance Company</t>
        </is>
      </c>
      <c r="B802" s="47" t="inlineStr">
        <is>
          <t>HFC HAUTE FRAGRANCE COMPANY LUCKY ONE EDP 75ML MASC</t>
        </is>
      </c>
      <c r="C802" s="48" t="n">
        <v>75</v>
      </c>
      <c r="D802" s="49" t="inlineStr">
        <is>
          <t>Nicho</t>
        </is>
      </c>
      <c r="E802" s="50" t="n">
        <v>300</v>
      </c>
      <c r="F802" s="51">
        <f>E802*$B$5*(1+$B$6)</f>
        <v>390000</v>
      </c>
      <c r="G802" s="51">
        <f>F802*$B$7</f>
        <v>975000</v>
      </c>
      <c r="H802" s="51">
        <f>G802-F802</f>
        <v>585000</v>
      </c>
      <c r="I802" s="52">
        <f>H802/G802</f>
        <v>0.6</v>
      </c>
      <c r="J802" s="53" t="n"/>
      <c r="K802" s="54" t="n"/>
    </row>
    <row r="803">
      <c r="A803" s="39" t="inlineStr">
        <is>
          <t>Haute Fragrance Company</t>
        </is>
      </c>
      <c r="B803" s="47" t="inlineStr">
        <is>
          <t>HFC HAUTE FRAGRANCE COMPANY OR NOIR EDP 75ML MASC</t>
        </is>
      </c>
      <c r="C803" s="48" t="n">
        <v>75</v>
      </c>
      <c r="D803" s="49" t="inlineStr">
        <is>
          <t>Nicho</t>
        </is>
      </c>
      <c r="E803" s="50" t="n">
        <v>300</v>
      </c>
      <c r="F803" s="51">
        <f>E803*$B$5*(1+$B$6)</f>
        <v>390000</v>
      </c>
      <c r="G803" s="51">
        <f>F803*$B$7</f>
        <v>975000</v>
      </c>
      <c r="H803" s="51">
        <f>G803-F803</f>
        <v>585000</v>
      </c>
      <c r="I803" s="52">
        <f>H803/G803</f>
        <v>0.6</v>
      </c>
      <c r="J803" s="53" t="n"/>
      <c r="K803" s="54" t="n"/>
    </row>
    <row r="804">
      <c r="A804" s="39" t="inlineStr">
        <is>
          <t>Haute Fragrance Company</t>
        </is>
      </c>
      <c r="B804" s="47" t="inlineStr">
        <is>
          <t>HFC HAUTE FRAGRANCE COMPANY PRIVATE CODE EDP 75ML UNISEX</t>
        </is>
      </c>
      <c r="C804" s="48" t="n">
        <v>75</v>
      </c>
      <c r="D804" s="49" t="inlineStr">
        <is>
          <t>Nicho</t>
        </is>
      </c>
      <c r="E804" s="50" t="n">
        <v>300</v>
      </c>
      <c r="F804" s="51">
        <f>E804*$B$5*(1+$B$6)</f>
        <v>390000</v>
      </c>
      <c r="G804" s="51">
        <f>F804*$B$7</f>
        <v>975000</v>
      </c>
      <c r="H804" s="51">
        <f>G804-F804</f>
        <v>585000</v>
      </c>
      <c r="I804" s="52">
        <f>H804/G804</f>
        <v>0.6</v>
      </c>
      <c r="J804" s="53" t="n"/>
      <c r="K804" s="54" t="n"/>
    </row>
    <row r="805">
      <c r="A805" s="39" t="inlineStr">
        <is>
          <t>Haute Fragrance Company</t>
        </is>
      </c>
      <c r="B805" s="47" t="inlineStr">
        <is>
          <t>HFC HAUTE FRAGRANCE COMPANY PROPOSAL EDP 75ML FEM</t>
        </is>
      </c>
      <c r="C805" s="48" t="n">
        <v>75</v>
      </c>
      <c r="D805" s="49" t="inlineStr">
        <is>
          <t>Nicho</t>
        </is>
      </c>
      <c r="E805" s="50" t="n">
        <v>300</v>
      </c>
      <c r="F805" s="51">
        <f>E805*$B$5*(1+$B$6)</f>
        <v>390000</v>
      </c>
      <c r="G805" s="51">
        <f>F805*$B$7</f>
        <v>975000</v>
      </c>
      <c r="H805" s="51">
        <f>G805-F805</f>
        <v>585000</v>
      </c>
      <c r="I805" s="52">
        <f>H805/G805</f>
        <v>0.6</v>
      </c>
      <c r="J805" s="53" t="n"/>
      <c r="K805" s="54" t="n"/>
    </row>
    <row r="806">
      <c r="A806" s="39" t="inlineStr">
        <is>
          <t>Haute Fragrance Company</t>
        </is>
      </c>
      <c r="B806" s="47" t="inlineStr">
        <is>
          <t>HFC HAUTE FRAGRANCE COMPANY WRAP ME IN DREAMS EDP 75ML FEM</t>
        </is>
      </c>
      <c r="C806" s="48" t="n">
        <v>75</v>
      </c>
      <c r="D806" s="49" t="inlineStr">
        <is>
          <t>Nicho</t>
        </is>
      </c>
      <c r="E806" s="50" t="n">
        <v>300</v>
      </c>
      <c r="F806" s="51">
        <f>E806*$B$5*(1+$B$6)</f>
        <v>390000</v>
      </c>
      <c r="G806" s="51">
        <f>F806*$B$7</f>
        <v>975000</v>
      </c>
      <c r="H806" s="51">
        <f>G806-F806</f>
        <v>585000</v>
      </c>
      <c r="I806" s="52">
        <f>H806/G806</f>
        <v>0.6</v>
      </c>
      <c r="J806" s="53" t="n"/>
      <c r="K806" s="54" t="n"/>
    </row>
    <row r="807">
      <c r="A807" s="39" t="inlineStr">
        <is>
          <t>Hermès</t>
        </is>
      </c>
      <c r="B807" s="47" t="inlineStr">
        <is>
          <t>H24 EDT</t>
        </is>
      </c>
      <c r="C807" s="48" t="n">
        <v>100</v>
      </c>
      <c r="D807" s="49" t="inlineStr">
        <is>
          <t>Diseñador</t>
        </is>
      </c>
      <c r="E807" s="50" t="n">
        <v>61</v>
      </c>
      <c r="F807" s="51">
        <f>E807*$B$5*(1+$B$6)</f>
        <v>79300</v>
      </c>
      <c r="G807" s="51">
        <f>F807*$B$7</f>
        <v>198250</v>
      </c>
      <c r="H807" s="51">
        <f>G807-F807</f>
        <v>118950</v>
      </c>
      <c r="I807" s="52">
        <f>H807/G807</f>
        <v>0.6</v>
      </c>
      <c r="J807" s="53" t="n"/>
      <c r="K807" s="54" t="n"/>
    </row>
    <row r="808">
      <c r="A808" s="39" t="inlineStr">
        <is>
          <t>Hermès</t>
        </is>
      </c>
      <c r="B808" s="47" t="inlineStr">
        <is>
          <t>Terre d'Hermès EDT</t>
        </is>
      </c>
      <c r="C808" s="48" t="n">
        <v>100</v>
      </c>
      <c r="D808" s="49" t="inlineStr">
        <is>
          <t>Diseñador</t>
        </is>
      </c>
      <c r="E808" s="50" t="n">
        <v>64.5</v>
      </c>
      <c r="F808" s="51">
        <f>E808*$B$5*(1+$B$6)</f>
        <v>83850</v>
      </c>
      <c r="G808" s="51">
        <f>F808*$B$7</f>
        <v>209625</v>
      </c>
      <c r="H808" s="51">
        <f>G808-F808</f>
        <v>125775</v>
      </c>
      <c r="I808" s="52">
        <f>H808/G808</f>
        <v>0.6</v>
      </c>
      <c r="J808" s="53" t="n">
        <v>200000</v>
      </c>
      <c r="K808" s="54" t="inlineStr">
        <is>
          <t>AR ~$190-266k</t>
        </is>
      </c>
    </row>
    <row r="809">
      <c r="A809" s="39" t="inlineStr">
        <is>
          <t>Hugo Boss</t>
        </is>
      </c>
      <c r="B809" s="47" t="inlineStr">
        <is>
          <t>HUGO BOSS ALIVE EDP 80ML</t>
        </is>
      </c>
      <c r="C809" s="48" t="n">
        <v>80</v>
      </c>
      <c r="D809" s="49" t="inlineStr">
        <is>
          <t>Diseñador</t>
        </is>
      </c>
      <c r="E809" s="50" t="n">
        <v>48</v>
      </c>
      <c r="F809" s="51">
        <f>E809*$B$5*(1+$B$6)</f>
        <v>62400</v>
      </c>
      <c r="G809" s="51">
        <f>F809*$B$7</f>
        <v>156000</v>
      </c>
      <c r="H809" s="51">
        <f>G809-F809</f>
        <v>93600</v>
      </c>
      <c r="I809" s="52">
        <f>H809/G809</f>
        <v>0.6</v>
      </c>
      <c r="J809" s="53" t="n"/>
      <c r="K809" s="54" t="n"/>
    </row>
    <row r="810">
      <c r="A810" s="39" t="inlineStr">
        <is>
          <t>Hugo Boss</t>
        </is>
      </c>
      <c r="B810" s="47" t="inlineStr">
        <is>
          <t>HUGO BOSS BOTTLED EDT 100ML MASCULINO</t>
        </is>
      </c>
      <c r="C810" s="48" t="n">
        <v>100</v>
      </c>
      <c r="D810" s="49" t="inlineStr">
        <is>
          <t>Diseñador</t>
        </is>
      </c>
      <c r="E810" s="50" t="n">
        <v>45</v>
      </c>
      <c r="F810" s="51">
        <f>E810*$B$5*(1+$B$6)</f>
        <v>58500</v>
      </c>
      <c r="G810" s="51">
        <f>F810*$B$7</f>
        <v>146250</v>
      </c>
      <c r="H810" s="51">
        <f>G810-F810</f>
        <v>87750</v>
      </c>
      <c r="I810" s="52">
        <f>H810/G810</f>
        <v>0.6</v>
      </c>
      <c r="J810" s="53" t="n"/>
      <c r="K810" s="54" t="n"/>
    </row>
    <row r="811">
      <c r="A811" s="39" t="inlineStr">
        <is>
          <t>Hugo Boss</t>
        </is>
      </c>
      <c r="B811" s="47" t="inlineStr">
        <is>
          <t>HUGO BOSS BOTTLED ELIXIR PARFUM INTENSE 100ML</t>
        </is>
      </c>
      <c r="C811" s="48" t="n">
        <v>100</v>
      </c>
      <c r="D811" s="49" t="inlineStr">
        <is>
          <t>Diseñador</t>
        </is>
      </c>
      <c r="E811" s="50" t="n">
        <v>82</v>
      </c>
      <c r="F811" s="51">
        <f>E811*$B$5*(1+$B$6)</f>
        <v>106600</v>
      </c>
      <c r="G811" s="51">
        <f>F811*$B$7</f>
        <v>266500</v>
      </c>
      <c r="H811" s="51">
        <f>G811-F811</f>
        <v>159900</v>
      </c>
      <c r="I811" s="52">
        <f>H811/G811</f>
        <v>0.6</v>
      </c>
      <c r="J811" s="53" t="n"/>
      <c r="K811" s="54" t="n"/>
    </row>
    <row r="812">
      <c r="A812" s="39" t="inlineStr">
        <is>
          <t>Hugo Boss</t>
        </is>
      </c>
      <c r="B812" s="47" t="inlineStr">
        <is>
          <t>HUGO BOSS BOTTLED NIGHT EDT 100ML MASC</t>
        </is>
      </c>
      <c r="C812" s="48" t="n">
        <v>100</v>
      </c>
      <c r="D812" s="49" t="inlineStr">
        <is>
          <t>Diseñador</t>
        </is>
      </c>
      <c r="E812" s="50" t="n">
        <v>36</v>
      </c>
      <c r="F812" s="51">
        <f>E812*$B$5*(1+$B$6)</f>
        <v>46800</v>
      </c>
      <c r="G812" s="51">
        <f>F812*$B$7</f>
        <v>117000</v>
      </c>
      <c r="H812" s="51">
        <f>G812-F812</f>
        <v>70200</v>
      </c>
      <c r="I812" s="52">
        <f>H812/G812</f>
        <v>0.6</v>
      </c>
      <c r="J812" s="53" t="n"/>
      <c r="K812" s="54" t="n"/>
    </row>
    <row r="813">
      <c r="A813" s="39" t="inlineStr">
        <is>
          <t>Hugo Boss</t>
        </is>
      </c>
      <c r="B813" s="47" t="inlineStr">
        <is>
          <t>HUGO BOSS BOTTLED PARFUM 100ML</t>
        </is>
      </c>
      <c r="C813" s="48" t="n">
        <v>100</v>
      </c>
      <c r="D813" s="49" t="inlineStr">
        <is>
          <t>Diseñador</t>
        </is>
      </c>
      <c r="E813" s="50" t="n">
        <v>71</v>
      </c>
      <c r="F813" s="51">
        <f>E813*$B$5*(1+$B$6)</f>
        <v>92300</v>
      </c>
      <c r="G813" s="51">
        <f>F813*$B$7</f>
        <v>230750</v>
      </c>
      <c r="H813" s="51">
        <f>G813-F813</f>
        <v>138450</v>
      </c>
      <c r="I813" s="52">
        <f>H813/G813</f>
        <v>0.6</v>
      </c>
      <c r="J813" s="53" t="n"/>
      <c r="K813" s="54" t="n"/>
    </row>
    <row r="814">
      <c r="A814" s="39" t="inlineStr">
        <is>
          <t>Hugo Boss</t>
        </is>
      </c>
      <c r="B814" s="47" t="inlineStr">
        <is>
          <t>HUGO BOSS DARK BLUE 75ML MASC</t>
        </is>
      </c>
      <c r="C814" s="48" t="n">
        <v>75</v>
      </c>
      <c r="D814" s="49" t="inlineStr">
        <is>
          <t>Diseñador</t>
        </is>
      </c>
      <c r="E814" s="50" t="n">
        <v>22</v>
      </c>
      <c r="F814" s="51">
        <f>E814*$B$5*(1+$B$6)</f>
        <v>28600</v>
      </c>
      <c r="G814" s="51">
        <f>F814*$B$7</f>
        <v>71500</v>
      </c>
      <c r="H814" s="51">
        <f>G814-F814</f>
        <v>42900</v>
      </c>
      <c r="I814" s="52">
        <f>H814/G814</f>
        <v>0.6</v>
      </c>
      <c r="J814" s="53" t="n"/>
      <c r="K814" s="54" t="n"/>
    </row>
    <row r="815">
      <c r="A815" s="39" t="inlineStr">
        <is>
          <t>Hugo Boss</t>
        </is>
      </c>
      <c r="B815" s="47" t="inlineStr">
        <is>
          <t>HUGO BOSS FEMME EDP 75ML FEMININO</t>
        </is>
      </c>
      <c r="C815" s="48" t="n">
        <v>75</v>
      </c>
      <c r="D815" s="49" t="inlineStr">
        <is>
          <t>Diseñador</t>
        </is>
      </c>
      <c r="E815" s="50" t="n">
        <v>29</v>
      </c>
      <c r="F815" s="51">
        <f>E815*$B$5*(1+$B$6)</f>
        <v>37700</v>
      </c>
      <c r="G815" s="51">
        <f>F815*$B$7</f>
        <v>94250</v>
      </c>
      <c r="H815" s="51">
        <f>G815-F815</f>
        <v>56550</v>
      </c>
      <c r="I815" s="52">
        <f>H815/G815</f>
        <v>0.6</v>
      </c>
      <c r="J815" s="53" t="n"/>
      <c r="K815" s="54" t="n"/>
    </row>
    <row r="816">
      <c r="A816" s="39" t="inlineStr">
        <is>
          <t>Hugo Boss</t>
        </is>
      </c>
      <c r="B816" s="47" t="inlineStr">
        <is>
          <t>HUGO BOSS KIT BOTTLED EDT 100ML + DEO (2PCS)</t>
        </is>
      </c>
      <c r="C816" s="48" t="n">
        <v>100</v>
      </c>
      <c r="D816" s="49" t="inlineStr">
        <is>
          <t>Diseñador</t>
        </is>
      </c>
      <c r="E816" s="50" t="n">
        <v>49.99</v>
      </c>
      <c r="F816" s="51">
        <f>E816*$B$5*(1+$B$6)</f>
        <v>64987</v>
      </c>
      <c r="G816" s="51">
        <f>F816*$B$7</f>
        <v>162467.5</v>
      </c>
      <c r="H816" s="51">
        <f>G816-F816</f>
        <v>97480.5</v>
      </c>
      <c r="I816" s="52">
        <f>H816/G816</f>
        <v>0.6</v>
      </c>
      <c r="J816" s="53" t="n"/>
      <c r="K816" s="54" t="n"/>
    </row>
    <row r="817">
      <c r="A817" s="39" t="inlineStr">
        <is>
          <t>Hugo Boss</t>
        </is>
      </c>
      <c r="B817" s="47" t="inlineStr">
        <is>
          <t>HUGO BOSS MA VIE EDP 75ML</t>
        </is>
      </c>
      <c r="C817" s="48" t="n">
        <v>75</v>
      </c>
      <c r="D817" s="49" t="inlineStr">
        <is>
          <t>Diseñador</t>
        </is>
      </c>
      <c r="E817" s="50" t="n">
        <v>39</v>
      </c>
      <c r="F817" s="51">
        <f>E817*$B$5*(1+$B$6)</f>
        <v>50700</v>
      </c>
      <c r="G817" s="51">
        <f>F817*$B$7</f>
        <v>126750</v>
      </c>
      <c r="H817" s="51">
        <f>G817-F817</f>
        <v>76050</v>
      </c>
      <c r="I817" s="52">
        <f>H817/G817</f>
        <v>0.6</v>
      </c>
      <c r="J817" s="53" t="n"/>
      <c r="K817" s="54" t="n"/>
    </row>
    <row r="818">
      <c r="A818" s="39" t="inlineStr">
        <is>
          <t>Hugo Boss</t>
        </is>
      </c>
      <c r="B818" s="47" t="inlineStr">
        <is>
          <t>HUGO BOSS NUMBER ONE EDT 100ML MASC</t>
        </is>
      </c>
      <c r="C818" s="48" t="n">
        <v>100</v>
      </c>
      <c r="D818" s="49" t="inlineStr">
        <is>
          <t>Diseñador</t>
        </is>
      </c>
      <c r="E818" s="50" t="n">
        <v>24</v>
      </c>
      <c r="F818" s="51">
        <f>E818*$B$5*(1+$B$6)</f>
        <v>31200</v>
      </c>
      <c r="G818" s="51">
        <f>F818*$B$7</f>
        <v>78000</v>
      </c>
      <c r="H818" s="51">
        <f>G818-F818</f>
        <v>46800</v>
      </c>
      <c r="I818" s="52">
        <f>H818/G818</f>
        <v>0.6</v>
      </c>
      <c r="J818" s="53" t="n"/>
      <c r="K818" s="54" t="n"/>
    </row>
    <row r="819">
      <c r="A819" s="39" t="inlineStr">
        <is>
          <t>Hugo Boss</t>
        </is>
      </c>
      <c r="B819" s="47" t="inlineStr">
        <is>
          <t>HUGO BOSS THE SCENT EDT 100ML MASC</t>
        </is>
      </c>
      <c r="C819" s="48" t="n">
        <v>100</v>
      </c>
      <c r="D819" s="49" t="inlineStr">
        <is>
          <t>Diseñador</t>
        </is>
      </c>
      <c r="E819" s="50" t="n">
        <v>41</v>
      </c>
      <c r="F819" s="51">
        <f>E819*$B$5*(1+$B$6)</f>
        <v>53300</v>
      </c>
      <c r="G819" s="51">
        <f>F819*$B$7</f>
        <v>133250</v>
      </c>
      <c r="H819" s="51">
        <f>G819-F819</f>
        <v>79950</v>
      </c>
      <c r="I819" s="52">
        <f>H819/G819</f>
        <v>0.6</v>
      </c>
      <c r="J819" s="53" t="n"/>
      <c r="K819" s="54" t="n"/>
    </row>
    <row r="820">
      <c r="A820" s="39" t="inlineStr">
        <is>
          <t>Hugo Boss</t>
        </is>
      </c>
      <c r="B820" s="47" t="inlineStr">
        <is>
          <t>HUGO BOSS WOMAN EDP 90ML</t>
        </is>
      </c>
      <c r="C820" s="48" t="n">
        <v>90</v>
      </c>
      <c r="D820" s="49" t="inlineStr">
        <is>
          <t>Diseñador</t>
        </is>
      </c>
      <c r="E820" s="50" t="n">
        <v>32</v>
      </c>
      <c r="F820" s="51">
        <f>E820*$B$5*(1+$B$6)</f>
        <v>41600</v>
      </c>
      <c r="G820" s="51">
        <f>F820*$B$7</f>
        <v>104000</v>
      </c>
      <c r="H820" s="51">
        <f>G820-F820</f>
        <v>62400</v>
      </c>
      <c r="I820" s="52">
        <f>H820/G820</f>
        <v>0.6</v>
      </c>
      <c r="J820" s="53" t="n"/>
      <c r="K820" s="54" t="n"/>
    </row>
    <row r="821">
      <c r="A821" s="39" t="inlineStr">
        <is>
          <t>Hugo Boss</t>
        </is>
      </c>
      <c r="B821" s="47" t="inlineStr">
        <is>
          <t>HUGO BOSS XX EDT 100ML FEM</t>
        </is>
      </c>
      <c r="C821" s="48" t="n">
        <v>100</v>
      </c>
      <c r="D821" s="49" t="inlineStr">
        <is>
          <t>Diseñador</t>
        </is>
      </c>
      <c r="E821" s="50" t="n">
        <v>22.5</v>
      </c>
      <c r="F821" s="51">
        <f>E821*$B$5*(1+$B$6)</f>
        <v>29250</v>
      </c>
      <c r="G821" s="51">
        <f>F821*$B$7</f>
        <v>73125</v>
      </c>
      <c r="H821" s="51">
        <f>G821-F821</f>
        <v>43875</v>
      </c>
      <c r="I821" s="52">
        <f>H821/G821</f>
        <v>0.6</v>
      </c>
      <c r="J821" s="53" t="n"/>
      <c r="K821" s="54" t="n"/>
    </row>
    <row r="822">
      <c r="A822" s="39" t="inlineStr">
        <is>
          <t>Hugo Boss</t>
        </is>
      </c>
      <c r="B822" s="47" t="inlineStr">
        <is>
          <t>HUGO BOSS XY EDT 100ML MASC</t>
        </is>
      </c>
      <c r="C822" s="48" t="n">
        <v>100</v>
      </c>
      <c r="D822" s="49" t="inlineStr">
        <is>
          <t>Diseñador</t>
        </is>
      </c>
      <c r="E822" s="50" t="n">
        <v>25</v>
      </c>
      <c r="F822" s="51">
        <f>E822*$B$5*(1+$B$6)</f>
        <v>32500</v>
      </c>
      <c r="G822" s="51">
        <f>F822*$B$7</f>
        <v>81250</v>
      </c>
      <c r="H822" s="51">
        <f>G822-F822</f>
        <v>48750</v>
      </c>
      <c r="I822" s="52">
        <f>H822/G822</f>
        <v>0.6</v>
      </c>
      <c r="J822" s="53" t="n"/>
      <c r="K822" s="54" t="n"/>
    </row>
    <row r="823">
      <c r="A823" s="39" t="inlineStr">
        <is>
          <t>Initio</t>
        </is>
      </c>
      <c r="B823" s="47" t="inlineStr">
        <is>
          <t>INITIO BLESSED BARAKA EDP UNISSEX 90ML</t>
        </is>
      </c>
      <c r="C823" s="48" t="n">
        <v>90</v>
      </c>
      <c r="D823" s="49" t="inlineStr">
        <is>
          <t>Nicho</t>
        </is>
      </c>
      <c r="E823" s="50" t="n">
        <v>280</v>
      </c>
      <c r="F823" s="51">
        <f>E823*$B$5*(1+$B$6)</f>
        <v>364000</v>
      </c>
      <c r="G823" s="51">
        <f>F823*$B$7</f>
        <v>910000</v>
      </c>
      <c r="H823" s="51">
        <f>G823-F823</f>
        <v>546000</v>
      </c>
      <c r="I823" s="52">
        <f>H823/G823</f>
        <v>0.6</v>
      </c>
      <c r="J823" s="53" t="n"/>
      <c r="K823" s="54" t="n"/>
    </row>
    <row r="824">
      <c r="A824" s="39" t="inlineStr">
        <is>
          <t>Initio</t>
        </is>
      </c>
      <c r="B824" s="47" t="inlineStr">
        <is>
          <t>INITIO NARCOTIC DELIGHT EDP UNISSEX 90ML</t>
        </is>
      </c>
      <c r="C824" s="48" t="n">
        <v>90</v>
      </c>
      <c r="D824" s="49" t="inlineStr">
        <is>
          <t>Nicho</t>
        </is>
      </c>
      <c r="E824" s="50" t="n">
        <v>260</v>
      </c>
      <c r="F824" s="51">
        <f>E824*$B$5*(1+$B$6)</f>
        <v>338000</v>
      </c>
      <c r="G824" s="51">
        <f>F824*$B$7</f>
        <v>845000</v>
      </c>
      <c r="H824" s="51">
        <f>G824-F824</f>
        <v>507000</v>
      </c>
      <c r="I824" s="52">
        <f>H824/G824</f>
        <v>0.6</v>
      </c>
      <c r="J824" s="53" t="n"/>
      <c r="K824" s="54" t="n"/>
    </row>
    <row r="825">
      <c r="A825" s="39" t="inlineStr">
        <is>
          <t>Initio</t>
        </is>
      </c>
      <c r="B825" s="47" t="inlineStr">
        <is>
          <t>INITIO OUD FOR GREATNESS EDP 90ML UNISEX</t>
        </is>
      </c>
      <c r="C825" s="48" t="n">
        <v>90</v>
      </c>
      <c r="D825" s="49" t="inlineStr">
        <is>
          <t>Nicho</t>
        </is>
      </c>
      <c r="E825" s="50" t="n">
        <v>240</v>
      </c>
      <c r="F825" s="51">
        <f>E825*$B$5*(1+$B$6)</f>
        <v>312000</v>
      </c>
      <c r="G825" s="51">
        <f>F825*$B$7</f>
        <v>780000</v>
      </c>
      <c r="H825" s="51">
        <f>G825-F825</f>
        <v>468000</v>
      </c>
      <c r="I825" s="52">
        <f>H825/G825</f>
        <v>0.6</v>
      </c>
      <c r="J825" s="53" t="n"/>
      <c r="K825" s="54" t="n"/>
    </row>
    <row r="826">
      <c r="A826" s="39" t="inlineStr">
        <is>
          <t>Initio</t>
        </is>
      </c>
      <c r="B826" s="47" t="inlineStr">
        <is>
          <t>INITIO OUD FOR GREATNESS NEO EDP 90ML</t>
        </is>
      </c>
      <c r="C826" s="48" t="n">
        <v>90</v>
      </c>
      <c r="D826" s="49" t="inlineStr">
        <is>
          <t>Nicho</t>
        </is>
      </c>
      <c r="E826" s="50" t="n">
        <v>270</v>
      </c>
      <c r="F826" s="51">
        <f>E826*$B$5*(1+$B$6)</f>
        <v>351000</v>
      </c>
      <c r="G826" s="51">
        <f>F826*$B$7</f>
        <v>877500</v>
      </c>
      <c r="H826" s="51">
        <f>G826-F826</f>
        <v>526500</v>
      </c>
      <c r="I826" s="52">
        <f>H826/G826</f>
        <v>0.6</v>
      </c>
      <c r="J826" s="53" t="n"/>
      <c r="K826" s="54" t="n"/>
    </row>
    <row r="827">
      <c r="A827" s="39" t="inlineStr">
        <is>
          <t>Iscents</t>
        </is>
      </c>
      <c r="B827" s="47" t="inlineStr">
        <is>
          <t>ISCENTS ACTIVE POUR HOMME EDT 100ML</t>
        </is>
      </c>
      <c r="C827" s="48" t="n">
        <v>100</v>
      </c>
      <c r="D827" s="49" t="inlineStr">
        <is>
          <t>Árabe</t>
        </is>
      </c>
      <c r="E827" s="50" t="n">
        <v>6.5</v>
      </c>
      <c r="F827" s="51">
        <f>E827*$B$5*(1+$B$6)</f>
        <v>8450</v>
      </c>
      <c r="G827" s="51">
        <f>F827*$B$7</f>
        <v>21125</v>
      </c>
      <c r="H827" s="51">
        <f>G827-F827</f>
        <v>12675</v>
      </c>
      <c r="I827" s="52">
        <f>H827/G827</f>
        <v>0.6</v>
      </c>
      <c r="J827" s="53" t="n"/>
      <c r="K827" s="54" t="inlineStr">
        <is>
          <t>clon/genérico</t>
        </is>
      </c>
    </row>
    <row r="828">
      <c r="A828" s="39" t="inlineStr">
        <is>
          <t>Iscents</t>
        </is>
      </c>
      <c r="B828" s="47" t="inlineStr">
        <is>
          <t>ISCENTS BLU POUR HOMME EDT 100ML</t>
        </is>
      </c>
      <c r="C828" s="48" t="n">
        <v>100</v>
      </c>
      <c r="D828" s="49" t="inlineStr">
        <is>
          <t>Árabe</t>
        </is>
      </c>
      <c r="E828" s="50" t="n">
        <v>6.5</v>
      </c>
      <c r="F828" s="51">
        <f>E828*$B$5*(1+$B$6)</f>
        <v>8450</v>
      </c>
      <c r="G828" s="51">
        <f>F828*$B$7</f>
        <v>21125</v>
      </c>
      <c r="H828" s="51">
        <f>G828-F828</f>
        <v>12675</v>
      </c>
      <c r="I828" s="52">
        <f>H828/G828</f>
        <v>0.6</v>
      </c>
      <c r="J828" s="53" t="n"/>
      <c r="K828" s="54" t="inlineStr">
        <is>
          <t>clon/genérico</t>
        </is>
      </c>
    </row>
    <row r="829">
      <c r="A829" s="39" t="inlineStr">
        <is>
          <t>Iscents</t>
        </is>
      </c>
      <c r="B829" s="47" t="inlineStr">
        <is>
          <t>ISCENTS BOLD GIRL POUR FEMME EDP 100ML</t>
        </is>
      </c>
      <c r="C829" s="48" t="n">
        <v>100</v>
      </c>
      <c r="D829" s="49" t="inlineStr">
        <is>
          <t>Árabe</t>
        </is>
      </c>
      <c r="E829" s="50" t="n">
        <v>6.5</v>
      </c>
      <c r="F829" s="51">
        <f>E829*$B$5*(1+$B$6)</f>
        <v>8450</v>
      </c>
      <c r="G829" s="51">
        <f>F829*$B$7</f>
        <v>21125</v>
      </c>
      <c r="H829" s="51">
        <f>G829-F829</f>
        <v>12675</v>
      </c>
      <c r="I829" s="52">
        <f>H829/G829</f>
        <v>0.6</v>
      </c>
      <c r="J829" s="53" t="n"/>
      <c r="K829" s="54" t="inlineStr">
        <is>
          <t>clon/genérico</t>
        </is>
      </c>
    </row>
    <row r="830">
      <c r="A830" s="39" t="inlineStr">
        <is>
          <t>Iscents</t>
        </is>
      </c>
      <c r="B830" s="47" t="inlineStr">
        <is>
          <t>ISCENTS CERNIT LXS POUR HOMME EDT 100ML</t>
        </is>
      </c>
      <c r="C830" s="48" t="n">
        <v>100</v>
      </c>
      <c r="D830" s="49" t="inlineStr">
        <is>
          <t>Árabe</t>
        </is>
      </c>
      <c r="E830" s="50" t="n">
        <v>6.5</v>
      </c>
      <c r="F830" s="51">
        <f>E830*$B$5*(1+$B$6)</f>
        <v>8450</v>
      </c>
      <c r="G830" s="51">
        <f>F830*$B$7</f>
        <v>21125</v>
      </c>
      <c r="H830" s="51">
        <f>G830-F830</f>
        <v>12675</v>
      </c>
      <c r="I830" s="52">
        <f>H830/G830</f>
        <v>0.6</v>
      </c>
      <c r="J830" s="53" t="n"/>
      <c r="K830" s="54" t="inlineStr">
        <is>
          <t>clon/genérico</t>
        </is>
      </c>
    </row>
    <row r="831">
      <c r="A831" s="39" t="inlineStr">
        <is>
          <t>Iscents</t>
        </is>
      </c>
      <c r="B831" s="47" t="inlineStr">
        <is>
          <t>ISCENTS CHANGE POUR HOMME EDT 100ML</t>
        </is>
      </c>
      <c r="C831" s="48" t="n">
        <v>100</v>
      </c>
      <c r="D831" s="49" t="inlineStr">
        <is>
          <t>Árabe</t>
        </is>
      </c>
      <c r="E831" s="50" t="n">
        <v>6.5</v>
      </c>
      <c r="F831" s="51">
        <f>E831*$B$5*(1+$B$6)</f>
        <v>8450</v>
      </c>
      <c r="G831" s="51">
        <f>F831*$B$7</f>
        <v>21125</v>
      </c>
      <c r="H831" s="51">
        <f>G831-F831</f>
        <v>12675</v>
      </c>
      <c r="I831" s="52">
        <f>H831/G831</f>
        <v>0.6</v>
      </c>
      <c r="J831" s="53" t="n"/>
      <c r="K831" s="54" t="inlineStr">
        <is>
          <t>clon/genérico</t>
        </is>
      </c>
    </row>
    <row r="832">
      <c r="A832" s="39" t="inlineStr">
        <is>
          <t>Iscents</t>
        </is>
      </c>
      <c r="B832" s="47" t="inlineStr">
        <is>
          <t>ISCENTS CHEERS POUR FEMME EDP 100ML</t>
        </is>
      </c>
      <c r="C832" s="48" t="n">
        <v>100</v>
      </c>
      <c r="D832" s="49" t="inlineStr">
        <is>
          <t>Árabe</t>
        </is>
      </c>
      <c r="E832" s="50" t="n">
        <v>6.5</v>
      </c>
      <c r="F832" s="51">
        <f>E832*$B$5*(1+$B$6)</f>
        <v>8450</v>
      </c>
      <c r="G832" s="51">
        <f>F832*$B$7</f>
        <v>21125</v>
      </c>
      <c r="H832" s="51">
        <f>G832-F832</f>
        <v>12675</v>
      </c>
      <c r="I832" s="52">
        <f>H832/G832</f>
        <v>0.6</v>
      </c>
      <c r="J832" s="53" t="n"/>
      <c r="K832" s="54" t="inlineStr">
        <is>
          <t>clon/genérico</t>
        </is>
      </c>
    </row>
    <row r="833">
      <c r="A833" s="39" t="inlineStr">
        <is>
          <t>Iscents</t>
        </is>
      </c>
      <c r="B833" s="47" t="inlineStr">
        <is>
          <t>ISCENTS CLASSIC BLACK POUR HOMME EDT 100ML</t>
        </is>
      </c>
      <c r="C833" s="48" t="n">
        <v>100</v>
      </c>
      <c r="D833" s="49" t="inlineStr">
        <is>
          <t>Árabe</t>
        </is>
      </c>
      <c r="E833" s="50" t="n">
        <v>6.5</v>
      </c>
      <c r="F833" s="51">
        <f>E833*$B$5*(1+$B$6)</f>
        <v>8450</v>
      </c>
      <c r="G833" s="51">
        <f>F833*$B$7</f>
        <v>21125</v>
      </c>
      <c r="H833" s="51">
        <f>G833-F833</f>
        <v>12675</v>
      </c>
      <c r="I833" s="52">
        <f>H833/G833</f>
        <v>0.6</v>
      </c>
      <c r="J833" s="53" t="n"/>
      <c r="K833" s="54" t="inlineStr">
        <is>
          <t>clon/genérico</t>
        </is>
      </c>
    </row>
    <row r="834">
      <c r="A834" s="39" t="inlineStr">
        <is>
          <t>Iscents</t>
        </is>
      </c>
      <c r="B834" s="47" t="inlineStr">
        <is>
          <t>ISCENTS CLOVES POUR HOMME EDT 100ML</t>
        </is>
      </c>
      <c r="C834" s="48" t="n">
        <v>100</v>
      </c>
      <c r="D834" s="49" t="inlineStr">
        <is>
          <t>Árabe</t>
        </is>
      </c>
      <c r="E834" s="50" t="n">
        <v>6.5</v>
      </c>
      <c r="F834" s="51">
        <f>E834*$B$5*(1+$B$6)</f>
        <v>8450</v>
      </c>
      <c r="G834" s="51">
        <f>F834*$B$7</f>
        <v>21125</v>
      </c>
      <c r="H834" s="51">
        <f>G834-F834</f>
        <v>12675</v>
      </c>
      <c r="I834" s="52">
        <f>H834/G834</f>
        <v>0.6</v>
      </c>
      <c r="J834" s="53" t="n"/>
      <c r="K834" s="54" t="inlineStr">
        <is>
          <t>clon/genérico</t>
        </is>
      </c>
    </row>
    <row r="835">
      <c r="A835" s="39" t="inlineStr">
        <is>
          <t>Iscents</t>
        </is>
      </c>
      <c r="B835" s="47" t="inlineStr">
        <is>
          <t>ISCENTS DARK BERRIES POUR FEMME EDP 100ML</t>
        </is>
      </c>
      <c r="C835" s="48" t="n">
        <v>100</v>
      </c>
      <c r="D835" s="49" t="inlineStr">
        <is>
          <t>Árabe</t>
        </is>
      </c>
      <c r="E835" s="50" t="n">
        <v>6.5</v>
      </c>
      <c r="F835" s="51">
        <f>E835*$B$5*(1+$B$6)</f>
        <v>8450</v>
      </c>
      <c r="G835" s="51">
        <f>F835*$B$7</f>
        <v>21125</v>
      </c>
      <c r="H835" s="51">
        <f>G835-F835</f>
        <v>12675</v>
      </c>
      <c r="I835" s="52">
        <f>H835/G835</f>
        <v>0.6</v>
      </c>
      <c r="J835" s="53" t="n"/>
      <c r="K835" s="54" t="inlineStr">
        <is>
          <t>clon/genérico</t>
        </is>
      </c>
    </row>
    <row r="836">
      <c r="A836" s="39" t="inlineStr">
        <is>
          <t>Iscents</t>
        </is>
      </c>
      <c r="B836" s="47" t="inlineStr">
        <is>
          <t>ISCENTS DARKCITY POUR HOMME EDT 100ML</t>
        </is>
      </c>
      <c r="C836" s="48" t="n">
        <v>100</v>
      </c>
      <c r="D836" s="49" t="inlineStr">
        <is>
          <t>Árabe</t>
        </is>
      </c>
      <c r="E836" s="50" t="n">
        <v>6.5</v>
      </c>
      <c r="F836" s="51">
        <f>E836*$B$5*(1+$B$6)</f>
        <v>8450</v>
      </c>
      <c r="G836" s="51">
        <f>F836*$B$7</f>
        <v>21125</v>
      </c>
      <c r="H836" s="51">
        <f>G836-F836</f>
        <v>12675</v>
      </c>
      <c r="I836" s="52">
        <f>H836/G836</f>
        <v>0.6</v>
      </c>
      <c r="J836" s="53" t="n"/>
      <c r="K836" s="54" t="inlineStr">
        <is>
          <t>clon/genérico</t>
        </is>
      </c>
    </row>
    <row r="837">
      <c r="A837" s="39" t="inlineStr">
        <is>
          <t>Iscents</t>
        </is>
      </c>
      <c r="B837" s="47" t="inlineStr">
        <is>
          <t>ISCENTS DARKER BLACK POUR HOMME EDT 100ML</t>
        </is>
      </c>
      <c r="C837" s="48" t="n">
        <v>100</v>
      </c>
      <c r="D837" s="49" t="inlineStr">
        <is>
          <t>Árabe</t>
        </is>
      </c>
      <c r="E837" s="50" t="n">
        <v>6.5</v>
      </c>
      <c r="F837" s="51">
        <f>E837*$B$5*(1+$B$6)</f>
        <v>8450</v>
      </c>
      <c r="G837" s="51">
        <f>F837*$B$7</f>
        <v>21125</v>
      </c>
      <c r="H837" s="51">
        <f>G837-F837</f>
        <v>12675</v>
      </c>
      <c r="I837" s="52">
        <f>H837/G837</f>
        <v>0.6</v>
      </c>
      <c r="J837" s="53" t="n"/>
      <c r="K837" s="54" t="inlineStr">
        <is>
          <t>clon/genérico</t>
        </is>
      </c>
    </row>
    <row r="838">
      <c r="A838" s="39" t="inlineStr">
        <is>
          <t>Iscents</t>
        </is>
      </c>
      <c r="B838" s="47" t="inlineStr">
        <is>
          <t>ISCENTS DUSK NOIR POUR HOMME EDT 100ML</t>
        </is>
      </c>
      <c r="C838" s="48" t="n">
        <v>100</v>
      </c>
      <c r="D838" s="49" t="inlineStr">
        <is>
          <t>Árabe</t>
        </is>
      </c>
      <c r="E838" s="50" t="n">
        <v>6.5</v>
      </c>
      <c r="F838" s="51">
        <f>E838*$B$5*(1+$B$6)</f>
        <v>8450</v>
      </c>
      <c r="G838" s="51">
        <f>F838*$B$7</f>
        <v>21125</v>
      </c>
      <c r="H838" s="51">
        <f>G838-F838</f>
        <v>12675</v>
      </c>
      <c r="I838" s="52">
        <f>H838/G838</f>
        <v>0.6</v>
      </c>
      <c r="J838" s="53" t="n"/>
      <c r="K838" s="54" t="inlineStr">
        <is>
          <t>clon/genérico</t>
        </is>
      </c>
    </row>
    <row r="839">
      <c r="A839" s="39" t="inlineStr">
        <is>
          <t>Iscents</t>
        </is>
      </c>
      <c r="B839" s="47" t="inlineStr">
        <is>
          <t>ISCENTS EAU DE SILVER INTENSE POUR HOMME EDT 100ML</t>
        </is>
      </c>
      <c r="C839" s="48" t="n">
        <v>100</v>
      </c>
      <c r="D839" s="49" t="inlineStr">
        <is>
          <t>Árabe</t>
        </is>
      </c>
      <c r="E839" s="50" t="n">
        <v>6.5</v>
      </c>
      <c r="F839" s="51">
        <f>E839*$B$5*(1+$B$6)</f>
        <v>8450</v>
      </c>
      <c r="G839" s="51">
        <f>F839*$B$7</f>
        <v>21125</v>
      </c>
      <c r="H839" s="51">
        <f>G839-F839</f>
        <v>12675</v>
      </c>
      <c r="I839" s="52">
        <f>H839/G839</f>
        <v>0.6</v>
      </c>
      <c r="J839" s="53" t="n"/>
      <c r="K839" s="54" t="inlineStr">
        <is>
          <t>clon/genérico</t>
        </is>
      </c>
    </row>
    <row r="840">
      <c r="A840" s="39" t="inlineStr">
        <is>
          <t>Iscents</t>
        </is>
      </c>
      <c r="B840" s="47" t="inlineStr">
        <is>
          <t>ISCENTS EAU DE SILVER POUR HOMME EDT 100ML</t>
        </is>
      </c>
      <c r="C840" s="48" t="n">
        <v>100</v>
      </c>
      <c r="D840" s="49" t="inlineStr">
        <is>
          <t>Árabe</t>
        </is>
      </c>
      <c r="E840" s="50" t="n">
        <v>6.5</v>
      </c>
      <c r="F840" s="51">
        <f>E840*$B$5*(1+$B$6)</f>
        <v>8450</v>
      </c>
      <c r="G840" s="51">
        <f>F840*$B$7</f>
        <v>21125</v>
      </c>
      <c r="H840" s="51">
        <f>G840-F840</f>
        <v>12675</v>
      </c>
      <c r="I840" s="52">
        <f>H840/G840</f>
        <v>0.6</v>
      </c>
      <c r="J840" s="53" t="n"/>
      <c r="K840" s="54" t="inlineStr">
        <is>
          <t>clon/genérico</t>
        </is>
      </c>
    </row>
    <row r="841">
      <c r="A841" s="39" t="inlineStr">
        <is>
          <t>Iscents</t>
        </is>
      </c>
      <c r="B841" s="47" t="inlineStr">
        <is>
          <t>ISCENTS EXCESS POUR HOMME EDT 100ML</t>
        </is>
      </c>
      <c r="C841" s="48" t="n">
        <v>100</v>
      </c>
      <c r="D841" s="49" t="inlineStr">
        <is>
          <t>Árabe</t>
        </is>
      </c>
      <c r="E841" s="50" t="n">
        <v>6.5</v>
      </c>
      <c r="F841" s="51">
        <f>E841*$B$5*(1+$B$6)</f>
        <v>8450</v>
      </c>
      <c r="G841" s="51">
        <f>F841*$B$7</f>
        <v>21125</v>
      </c>
      <c r="H841" s="51">
        <f>G841-F841</f>
        <v>12675</v>
      </c>
      <c r="I841" s="52">
        <f>H841/G841</f>
        <v>0.6</v>
      </c>
      <c r="J841" s="53" t="n"/>
      <c r="K841" s="54" t="inlineStr">
        <is>
          <t>clon/genérico</t>
        </is>
      </c>
    </row>
    <row r="842">
      <c r="A842" s="39" t="inlineStr">
        <is>
          <t>Iscents</t>
        </is>
      </c>
      <c r="B842" s="47" t="inlineStr">
        <is>
          <t>ISCENTS FANTASIA POUR FEMME EDP 100ML</t>
        </is>
      </c>
      <c r="C842" s="48" t="n">
        <v>100</v>
      </c>
      <c r="D842" s="49" t="inlineStr">
        <is>
          <t>Árabe</t>
        </is>
      </c>
      <c r="E842" s="50" t="n">
        <v>6.5</v>
      </c>
      <c r="F842" s="51">
        <f>E842*$B$5*(1+$B$6)</f>
        <v>8450</v>
      </c>
      <c r="G842" s="51">
        <f>F842*$B$7</f>
        <v>21125</v>
      </c>
      <c r="H842" s="51">
        <f>G842-F842</f>
        <v>12675</v>
      </c>
      <c r="I842" s="52">
        <f>H842/G842</f>
        <v>0.6</v>
      </c>
      <c r="J842" s="53" t="n"/>
      <c r="K842" s="54" t="inlineStr">
        <is>
          <t>clon/genérico</t>
        </is>
      </c>
    </row>
    <row r="843">
      <c r="A843" s="39" t="inlineStr">
        <is>
          <t>Iscents</t>
        </is>
      </c>
      <c r="B843" s="47" t="inlineStr">
        <is>
          <t>ISCENTS FLORAL POUR FEMME EDP 100ML</t>
        </is>
      </c>
      <c r="C843" s="48" t="n">
        <v>100</v>
      </c>
      <c r="D843" s="49" t="inlineStr">
        <is>
          <t>Árabe</t>
        </is>
      </c>
      <c r="E843" s="50" t="n">
        <v>6.5</v>
      </c>
      <c r="F843" s="51">
        <f>E843*$B$5*(1+$B$6)</f>
        <v>8450</v>
      </c>
      <c r="G843" s="51">
        <f>F843*$B$7</f>
        <v>21125</v>
      </c>
      <c r="H843" s="51">
        <f>G843-F843</f>
        <v>12675</v>
      </c>
      <c r="I843" s="52">
        <f>H843/G843</f>
        <v>0.6</v>
      </c>
      <c r="J843" s="53" t="n"/>
      <c r="K843" s="54" t="inlineStr">
        <is>
          <t>clon/genérico</t>
        </is>
      </c>
    </row>
    <row r="844">
      <c r="A844" s="39" t="inlineStr">
        <is>
          <t>Iscents</t>
        </is>
      </c>
      <c r="B844" s="47" t="inlineStr">
        <is>
          <t>ISCENTS INTERCITY POUR HOMME EDT 100ML</t>
        </is>
      </c>
      <c r="C844" s="48" t="n">
        <v>100</v>
      </c>
      <c r="D844" s="49" t="inlineStr">
        <is>
          <t>Árabe</t>
        </is>
      </c>
      <c r="E844" s="50" t="n">
        <v>6.5</v>
      </c>
      <c r="F844" s="51">
        <f>E844*$B$5*(1+$B$6)</f>
        <v>8450</v>
      </c>
      <c r="G844" s="51">
        <f>F844*$B$7</f>
        <v>21125</v>
      </c>
      <c r="H844" s="51">
        <f>G844-F844</f>
        <v>12675</v>
      </c>
      <c r="I844" s="52">
        <f>H844/G844</f>
        <v>0.6</v>
      </c>
      <c r="J844" s="53" t="n"/>
      <c r="K844" s="54" t="inlineStr">
        <is>
          <t>clon/genérico</t>
        </is>
      </c>
    </row>
    <row r="845">
      <c r="A845" s="39" t="inlineStr">
        <is>
          <t>Iscents</t>
        </is>
      </c>
      <c r="B845" s="47" t="inlineStr">
        <is>
          <t>ISCENTS LIKE BLACK POUR HOMME EDT 100ML</t>
        </is>
      </c>
      <c r="C845" s="48" t="n">
        <v>100</v>
      </c>
      <c r="D845" s="49" t="inlineStr">
        <is>
          <t>Árabe</t>
        </is>
      </c>
      <c r="E845" s="50" t="n">
        <v>6.5</v>
      </c>
      <c r="F845" s="51">
        <f>E845*$B$5*(1+$B$6)</f>
        <v>8450</v>
      </c>
      <c r="G845" s="51">
        <f>F845*$B$7</f>
        <v>21125</v>
      </c>
      <c r="H845" s="51">
        <f>G845-F845</f>
        <v>12675</v>
      </c>
      <c r="I845" s="52">
        <f>H845/G845</f>
        <v>0.6</v>
      </c>
      <c r="J845" s="53" t="n"/>
      <c r="K845" s="54" t="inlineStr">
        <is>
          <t>clon/genérico</t>
        </is>
      </c>
    </row>
    <row r="846">
      <c r="A846" s="39" t="inlineStr">
        <is>
          <t>Iscents</t>
        </is>
      </c>
      <c r="B846" s="47" t="inlineStr">
        <is>
          <t>ISCENTS MADAME POUR FEMME EDP 100ML</t>
        </is>
      </c>
      <c r="C846" s="48" t="n">
        <v>100</v>
      </c>
      <c r="D846" s="49" t="inlineStr">
        <is>
          <t>Árabe</t>
        </is>
      </c>
      <c r="E846" s="50" t="n">
        <v>6.5</v>
      </c>
      <c r="F846" s="51">
        <f>E846*$B$5*(1+$B$6)</f>
        <v>8450</v>
      </c>
      <c r="G846" s="51">
        <f>F846*$B$7</f>
        <v>21125</v>
      </c>
      <c r="H846" s="51">
        <f>G846-F846</f>
        <v>12675</v>
      </c>
      <c r="I846" s="52">
        <f>H846/G846</f>
        <v>0.6</v>
      </c>
      <c r="J846" s="53" t="n"/>
      <c r="K846" s="54" t="inlineStr">
        <is>
          <t>clon/genérico</t>
        </is>
      </c>
    </row>
    <row r="847">
      <c r="A847" s="39" t="inlineStr">
        <is>
          <t>Iscents</t>
        </is>
      </c>
      <c r="B847" s="47" t="inlineStr">
        <is>
          <t>ISCENTS MISS ROMANCE POUR FEMME EDP 100ML</t>
        </is>
      </c>
      <c r="C847" s="48" t="n">
        <v>100</v>
      </c>
      <c r="D847" s="49" t="inlineStr">
        <is>
          <t>Árabe</t>
        </is>
      </c>
      <c r="E847" s="50" t="n">
        <v>6.5</v>
      </c>
      <c r="F847" s="51">
        <f>E847*$B$5*(1+$B$6)</f>
        <v>8450</v>
      </c>
      <c r="G847" s="51">
        <f>F847*$B$7</f>
        <v>21125</v>
      </c>
      <c r="H847" s="51">
        <f>G847-F847</f>
        <v>12675</v>
      </c>
      <c r="I847" s="52">
        <f>H847/G847</f>
        <v>0.6</v>
      </c>
      <c r="J847" s="53" t="n"/>
      <c r="K847" s="54" t="inlineStr">
        <is>
          <t>clon/genérico</t>
        </is>
      </c>
    </row>
    <row r="848">
      <c r="A848" s="39" t="inlineStr">
        <is>
          <t>Iscents</t>
        </is>
      </c>
      <c r="B848" s="47" t="inlineStr">
        <is>
          <t>ISCENTS MONTY POUR HOMME EDT 100ML</t>
        </is>
      </c>
      <c r="C848" s="48" t="n">
        <v>100</v>
      </c>
      <c r="D848" s="49" t="inlineStr">
        <is>
          <t>Árabe</t>
        </is>
      </c>
      <c r="E848" s="50" t="n">
        <v>6.5</v>
      </c>
      <c r="F848" s="51">
        <f>E848*$B$5*(1+$B$6)</f>
        <v>8450</v>
      </c>
      <c r="G848" s="51">
        <f>F848*$B$7</f>
        <v>21125</v>
      </c>
      <c r="H848" s="51">
        <f>G848-F848</f>
        <v>12675</v>
      </c>
      <c r="I848" s="52">
        <f>H848/G848</f>
        <v>0.6</v>
      </c>
      <c r="J848" s="53" t="n"/>
      <c r="K848" s="54" t="inlineStr">
        <is>
          <t>clon/genérico</t>
        </is>
      </c>
    </row>
    <row r="849">
      <c r="A849" s="39" t="inlineStr">
        <is>
          <t>Iscents</t>
        </is>
      </c>
      <c r="B849" s="47" t="inlineStr">
        <is>
          <t>ISCENTS NOIR GEM POUR HOMME EDT 100ML</t>
        </is>
      </c>
      <c r="C849" s="48" t="n">
        <v>100</v>
      </c>
      <c r="D849" s="49" t="inlineStr">
        <is>
          <t>Árabe</t>
        </is>
      </c>
      <c r="E849" s="50" t="n">
        <v>6.5</v>
      </c>
      <c r="F849" s="51">
        <f>E849*$B$5*(1+$B$6)</f>
        <v>8450</v>
      </c>
      <c r="G849" s="51">
        <f>F849*$B$7</f>
        <v>21125</v>
      </c>
      <c r="H849" s="51">
        <f>G849-F849</f>
        <v>12675</v>
      </c>
      <c r="I849" s="52">
        <f>H849/G849</f>
        <v>0.6</v>
      </c>
      <c r="J849" s="53" t="n"/>
      <c r="K849" s="54" t="inlineStr">
        <is>
          <t>clon/genérico</t>
        </is>
      </c>
    </row>
    <row r="850">
      <c r="A850" s="39" t="inlineStr">
        <is>
          <t>Iscents</t>
        </is>
      </c>
      <c r="B850" s="47" t="inlineStr">
        <is>
          <t>ISCENTS NOIR POUR HOMME EDT 100ML</t>
        </is>
      </c>
      <c r="C850" s="48" t="n">
        <v>100</v>
      </c>
      <c r="D850" s="49" t="inlineStr">
        <is>
          <t>Árabe</t>
        </is>
      </c>
      <c r="E850" s="50" t="n">
        <v>6.5</v>
      </c>
      <c r="F850" s="51">
        <f>E850*$B$5*(1+$B$6)</f>
        <v>8450</v>
      </c>
      <c r="G850" s="51">
        <f>F850*$B$7</f>
        <v>21125</v>
      </c>
      <c r="H850" s="51">
        <f>G850-F850</f>
        <v>12675</v>
      </c>
      <c r="I850" s="52">
        <f>H850/G850</f>
        <v>0.6</v>
      </c>
      <c r="J850" s="53" t="n"/>
      <c r="K850" s="54" t="inlineStr">
        <is>
          <t>clon/genérico</t>
        </is>
      </c>
    </row>
    <row r="851">
      <c r="A851" s="39" t="inlineStr">
        <is>
          <t>Iscents</t>
        </is>
      </c>
      <c r="B851" s="47" t="inlineStr">
        <is>
          <t>ISCENTS NOIR XS POUR HOMME EDT 100ML</t>
        </is>
      </c>
      <c r="C851" s="48" t="n">
        <v>100</v>
      </c>
      <c r="D851" s="49" t="inlineStr">
        <is>
          <t>Árabe</t>
        </is>
      </c>
      <c r="E851" s="50" t="n">
        <v>6.5</v>
      </c>
      <c r="F851" s="51">
        <f>E851*$B$5*(1+$B$6)</f>
        <v>8450</v>
      </c>
      <c r="G851" s="51">
        <f>F851*$B$7</f>
        <v>21125</v>
      </c>
      <c r="H851" s="51">
        <f>G851-F851</f>
        <v>12675</v>
      </c>
      <c r="I851" s="52">
        <f>H851/G851</f>
        <v>0.6</v>
      </c>
      <c r="J851" s="53" t="n"/>
      <c r="K851" s="54" t="inlineStr">
        <is>
          <t>clon/genérico</t>
        </is>
      </c>
    </row>
    <row r="852">
      <c r="A852" s="39" t="inlineStr">
        <is>
          <t>Iscents</t>
        </is>
      </c>
      <c r="B852" s="47" t="inlineStr">
        <is>
          <t>ISCENTS POUR SCENTS POUR FEMME EDP 100ML</t>
        </is>
      </c>
      <c r="C852" s="48" t="n">
        <v>100</v>
      </c>
      <c r="D852" s="49" t="inlineStr">
        <is>
          <t>Árabe</t>
        </is>
      </c>
      <c r="E852" s="50" t="n">
        <v>6.5</v>
      </c>
      <c r="F852" s="51">
        <f>E852*$B$5*(1+$B$6)</f>
        <v>8450</v>
      </c>
      <c r="G852" s="51">
        <f>F852*$B$7</f>
        <v>21125</v>
      </c>
      <c r="H852" s="51">
        <f>G852-F852</f>
        <v>12675</v>
      </c>
      <c r="I852" s="52">
        <f>H852/G852</f>
        <v>0.6</v>
      </c>
      <c r="J852" s="53" t="n"/>
      <c r="K852" s="54" t="inlineStr">
        <is>
          <t>clon/genérico</t>
        </is>
      </c>
    </row>
    <row r="853">
      <c r="A853" s="39" t="inlineStr">
        <is>
          <t>Iscents</t>
        </is>
      </c>
      <c r="B853" s="47" t="inlineStr">
        <is>
          <t>ISCENTS ROSEE POUR FEMME EDP 100ML</t>
        </is>
      </c>
      <c r="C853" s="48" t="n">
        <v>100</v>
      </c>
      <c r="D853" s="49" t="inlineStr">
        <is>
          <t>Árabe</t>
        </is>
      </c>
      <c r="E853" s="50" t="n">
        <v>6.5</v>
      </c>
      <c r="F853" s="51">
        <f>E853*$B$5*(1+$B$6)</f>
        <v>8450</v>
      </c>
      <c r="G853" s="51">
        <f>F853*$B$7</f>
        <v>21125</v>
      </c>
      <c r="H853" s="51">
        <f>G853-F853</f>
        <v>12675</v>
      </c>
      <c r="I853" s="52">
        <f>H853/G853</f>
        <v>0.6</v>
      </c>
      <c r="J853" s="53" t="n"/>
      <c r="K853" s="54" t="inlineStr">
        <is>
          <t>clon/genérico</t>
        </is>
      </c>
    </row>
    <row r="854">
      <c r="A854" s="39" t="inlineStr">
        <is>
          <t>Iscents</t>
        </is>
      </c>
      <c r="B854" s="47" t="inlineStr">
        <is>
          <t>ISCENTS ROYAL RAFTING POUR HOMME EDP 100ML</t>
        </is>
      </c>
      <c r="C854" s="48" t="n">
        <v>100</v>
      </c>
      <c r="D854" s="49" t="inlineStr">
        <is>
          <t>Árabe</t>
        </is>
      </c>
      <c r="E854" s="50" t="n">
        <v>6.5</v>
      </c>
      <c r="F854" s="51">
        <f>E854*$B$5*(1+$B$6)</f>
        <v>8450</v>
      </c>
      <c r="G854" s="51">
        <f>F854*$B$7</f>
        <v>21125</v>
      </c>
      <c r="H854" s="51">
        <f>G854-F854</f>
        <v>12675</v>
      </c>
      <c r="I854" s="52">
        <f>H854/G854</f>
        <v>0.6</v>
      </c>
      <c r="J854" s="53" t="n"/>
      <c r="K854" s="54" t="inlineStr">
        <is>
          <t>clon/genérico</t>
        </is>
      </c>
    </row>
    <row r="855">
      <c r="A855" s="39" t="inlineStr">
        <is>
          <t>Iscents</t>
        </is>
      </c>
      <c r="B855" s="47" t="inlineStr">
        <is>
          <t>ISCENTS RUMBLE POUR FEMME EDP 100ML</t>
        </is>
      </c>
      <c r="C855" s="48" t="n">
        <v>100</v>
      </c>
      <c r="D855" s="49" t="inlineStr">
        <is>
          <t>Árabe</t>
        </is>
      </c>
      <c r="E855" s="50" t="n">
        <v>6.5</v>
      </c>
      <c r="F855" s="51">
        <f>E855*$B$5*(1+$B$6)</f>
        <v>8450</v>
      </c>
      <c r="G855" s="51">
        <f>F855*$B$7</f>
        <v>21125</v>
      </c>
      <c r="H855" s="51">
        <f>G855-F855</f>
        <v>12675</v>
      </c>
      <c r="I855" s="52">
        <f>H855/G855</f>
        <v>0.6</v>
      </c>
      <c r="J855" s="53" t="n"/>
      <c r="K855" s="54" t="inlineStr">
        <is>
          <t>clon/genérico</t>
        </is>
      </c>
    </row>
    <row r="856">
      <c r="A856" s="39" t="inlineStr">
        <is>
          <t>Iscents</t>
        </is>
      </c>
      <c r="B856" s="47" t="inlineStr">
        <is>
          <t>ISCENTS SECRET EXTREME POUR FEMME EDP 100ML</t>
        </is>
      </c>
      <c r="C856" s="48" t="n">
        <v>100</v>
      </c>
      <c r="D856" s="49" t="inlineStr">
        <is>
          <t>Árabe</t>
        </is>
      </c>
      <c r="E856" s="50" t="n">
        <v>6.5</v>
      </c>
      <c r="F856" s="51">
        <f>E856*$B$5*(1+$B$6)</f>
        <v>8450</v>
      </c>
      <c r="G856" s="51">
        <f>F856*$B$7</f>
        <v>21125</v>
      </c>
      <c r="H856" s="51">
        <f>G856-F856</f>
        <v>12675</v>
      </c>
      <c r="I856" s="52">
        <f>H856/G856</f>
        <v>0.6</v>
      </c>
      <c r="J856" s="53" t="n"/>
      <c r="K856" s="54" t="inlineStr">
        <is>
          <t>clon/genérico</t>
        </is>
      </c>
    </row>
    <row r="857">
      <c r="A857" s="39" t="inlineStr">
        <is>
          <t>Iscents</t>
        </is>
      </c>
      <c r="B857" s="47" t="inlineStr">
        <is>
          <t>ISCENTS SECRET POUR FEMME EDP 100ML</t>
        </is>
      </c>
      <c r="C857" s="48" t="n">
        <v>100</v>
      </c>
      <c r="D857" s="49" t="inlineStr">
        <is>
          <t>Árabe</t>
        </is>
      </c>
      <c r="E857" s="50" t="n">
        <v>6.5</v>
      </c>
      <c r="F857" s="51">
        <f>E857*$B$5*(1+$B$6)</f>
        <v>8450</v>
      </c>
      <c r="G857" s="51">
        <f>F857*$B$7</f>
        <v>21125</v>
      </c>
      <c r="H857" s="51">
        <f>G857-F857</f>
        <v>12675</v>
      </c>
      <c r="I857" s="52">
        <f>H857/G857</f>
        <v>0.6</v>
      </c>
      <c r="J857" s="53" t="n"/>
      <c r="K857" s="54" t="inlineStr">
        <is>
          <t>clon/genérico</t>
        </is>
      </c>
    </row>
    <row r="858">
      <c r="A858" s="39" t="inlineStr">
        <is>
          <t>Iscents</t>
        </is>
      </c>
      <c r="B858" s="47" t="inlineStr">
        <is>
          <t>ISCENTS SPLENDID PLUS POUR HOMME EDT 100ML</t>
        </is>
      </c>
      <c r="C858" s="48" t="n">
        <v>100</v>
      </c>
      <c r="D858" s="49" t="inlineStr">
        <is>
          <t>Árabe</t>
        </is>
      </c>
      <c r="E858" s="50" t="n">
        <v>6.5</v>
      </c>
      <c r="F858" s="51">
        <f>E858*$B$5*(1+$B$6)</f>
        <v>8450</v>
      </c>
      <c r="G858" s="51">
        <f>F858*$B$7</f>
        <v>21125</v>
      </c>
      <c r="H858" s="51">
        <f>G858-F858</f>
        <v>12675</v>
      </c>
      <c r="I858" s="52">
        <f>H858/G858</f>
        <v>0.6</v>
      </c>
      <c r="J858" s="53" t="n"/>
      <c r="K858" s="54" t="inlineStr">
        <is>
          <t>clon/genérico</t>
        </is>
      </c>
    </row>
    <row r="859">
      <c r="A859" s="39" t="inlineStr">
        <is>
          <t>Iscents</t>
        </is>
      </c>
      <c r="B859" s="47" t="inlineStr">
        <is>
          <t>ISCENTS SUAVE POUR HOMME EDT 100ML</t>
        </is>
      </c>
      <c r="C859" s="48" t="n">
        <v>100</v>
      </c>
      <c r="D859" s="49" t="inlineStr">
        <is>
          <t>Árabe</t>
        </is>
      </c>
      <c r="E859" s="50" t="n">
        <v>6.5</v>
      </c>
      <c r="F859" s="51">
        <f>E859*$B$5*(1+$B$6)</f>
        <v>8450</v>
      </c>
      <c r="G859" s="51">
        <f>F859*$B$7</f>
        <v>21125</v>
      </c>
      <c r="H859" s="51">
        <f>G859-F859</f>
        <v>12675</v>
      </c>
      <c r="I859" s="52">
        <f>H859/G859</f>
        <v>0.6</v>
      </c>
      <c r="J859" s="53" t="n"/>
      <c r="K859" s="54" t="inlineStr">
        <is>
          <t>clon/genérico</t>
        </is>
      </c>
    </row>
    <row r="860">
      <c r="A860" s="39" t="inlineStr">
        <is>
          <t>Iscents</t>
        </is>
      </c>
      <c r="B860" s="47" t="inlineStr">
        <is>
          <t>ISCENTS VELVET GIRL POUR FEMME EDP 100ML</t>
        </is>
      </c>
      <c r="C860" s="48" t="n">
        <v>100</v>
      </c>
      <c r="D860" s="49" t="inlineStr">
        <is>
          <t>Árabe</t>
        </is>
      </c>
      <c r="E860" s="50" t="n">
        <v>6.5</v>
      </c>
      <c r="F860" s="51">
        <f>E860*$B$5*(1+$B$6)</f>
        <v>8450</v>
      </c>
      <c r="G860" s="51">
        <f>F860*$B$7</f>
        <v>21125</v>
      </c>
      <c r="H860" s="51">
        <f>G860-F860</f>
        <v>12675</v>
      </c>
      <c r="I860" s="52">
        <f>H860/G860</f>
        <v>0.6</v>
      </c>
      <c r="J860" s="53" t="n"/>
      <c r="K860" s="54" t="inlineStr">
        <is>
          <t>clon/genérico</t>
        </is>
      </c>
    </row>
    <row r="861">
      <c r="A861" s="39" t="inlineStr">
        <is>
          <t>Iscents</t>
        </is>
      </c>
      <c r="B861" s="47" t="inlineStr">
        <is>
          <t>ISCENTS WE ARE STRONG POUR HOMME EDT 100ML</t>
        </is>
      </c>
      <c r="C861" s="48" t="n">
        <v>100</v>
      </c>
      <c r="D861" s="49" t="inlineStr">
        <is>
          <t>Árabe</t>
        </is>
      </c>
      <c r="E861" s="50" t="n">
        <v>6.5</v>
      </c>
      <c r="F861" s="51">
        <f>E861*$B$5*(1+$B$6)</f>
        <v>8450</v>
      </c>
      <c r="G861" s="51">
        <f>F861*$B$7</f>
        <v>21125</v>
      </c>
      <c r="H861" s="51">
        <f>G861-F861</f>
        <v>12675</v>
      </c>
      <c r="I861" s="52">
        <f>H861/G861</f>
        <v>0.6</v>
      </c>
      <c r="J861" s="53" t="n"/>
      <c r="K861" s="54" t="inlineStr">
        <is>
          <t>clon/genérico</t>
        </is>
      </c>
    </row>
    <row r="862">
      <c r="A862" s="39" t="inlineStr">
        <is>
          <t>Iscents</t>
        </is>
      </c>
      <c r="B862" s="47" t="inlineStr">
        <is>
          <t>ISCENTS YOU ISCENT POUR FEMME EDP 100ML</t>
        </is>
      </c>
      <c r="C862" s="48" t="n">
        <v>100</v>
      </c>
      <c r="D862" s="49" t="inlineStr">
        <is>
          <t>Árabe</t>
        </is>
      </c>
      <c r="E862" s="50" t="n">
        <v>6.5</v>
      </c>
      <c r="F862" s="51">
        <f>E862*$B$5*(1+$B$6)</f>
        <v>8450</v>
      </c>
      <c r="G862" s="51">
        <f>F862*$B$7</f>
        <v>21125</v>
      </c>
      <c r="H862" s="51">
        <f>G862-F862</f>
        <v>12675</v>
      </c>
      <c r="I862" s="52">
        <f>H862/G862</f>
        <v>0.6</v>
      </c>
      <c r="J862" s="53" t="n"/>
      <c r="K862" s="54" t="inlineStr">
        <is>
          <t>clon/genérico</t>
        </is>
      </c>
    </row>
    <row r="863">
      <c r="A863" s="39" t="inlineStr">
        <is>
          <t>Issey Miyake</t>
        </is>
      </c>
      <c r="B863" s="47" t="inlineStr">
        <is>
          <t>ISSEY MIYAKE BLEUE D'ISSEY EDT 75ML MASC</t>
        </is>
      </c>
      <c r="C863" s="48" t="n">
        <v>75</v>
      </c>
      <c r="D863" s="49" t="inlineStr">
        <is>
          <t>Diseñador</t>
        </is>
      </c>
      <c r="E863" s="50" t="n">
        <v>39</v>
      </c>
      <c r="F863" s="51">
        <f>E863*$B$5*(1+$B$6)</f>
        <v>50700</v>
      </c>
      <c r="G863" s="51">
        <f>F863*$B$7</f>
        <v>126750</v>
      </c>
      <c r="H863" s="51">
        <f>G863-F863</f>
        <v>76050</v>
      </c>
      <c r="I863" s="52">
        <f>H863/G863</f>
        <v>0.6</v>
      </c>
      <c r="J863" s="53" t="n"/>
      <c r="K863" s="54" t="n"/>
    </row>
    <row r="864">
      <c r="A864" s="39" t="inlineStr">
        <is>
          <t>Issey Miyake</t>
        </is>
      </c>
      <c r="B864" s="47" t="inlineStr">
        <is>
          <t>ISSEY MIYAKE FUSION D'ISSEY EXTREME EDT 100ML</t>
        </is>
      </c>
      <c r="C864" s="48" t="n">
        <v>100</v>
      </c>
      <c r="D864" s="49" t="inlineStr">
        <is>
          <t>Diseñador</t>
        </is>
      </c>
      <c r="E864" s="50" t="n">
        <v>49</v>
      </c>
      <c r="F864" s="51">
        <f>E864*$B$5*(1+$B$6)</f>
        <v>63700</v>
      </c>
      <c r="G864" s="51">
        <f>F864*$B$7</f>
        <v>159250</v>
      </c>
      <c r="H864" s="51">
        <f>G864-F864</f>
        <v>95550</v>
      </c>
      <c r="I864" s="52">
        <f>H864/G864</f>
        <v>0.6</v>
      </c>
      <c r="J864" s="53" t="n"/>
      <c r="K864" s="54" t="n"/>
    </row>
    <row r="865">
      <c r="A865" s="39" t="inlineStr">
        <is>
          <t>Issey Miyake</t>
        </is>
      </c>
      <c r="B865" s="47" t="inlineStr">
        <is>
          <t>ISSEY MIYAKE KIT L'EAU D'ISSEY 100ML+75ML BODY CREAM</t>
        </is>
      </c>
      <c r="C865" s="48" t="n">
        <v>100</v>
      </c>
      <c r="D865" s="49" t="inlineStr">
        <is>
          <t>Diseñador</t>
        </is>
      </c>
      <c r="E865" s="50" t="n">
        <v>55</v>
      </c>
      <c r="F865" s="51">
        <f>E865*$B$5*(1+$B$6)</f>
        <v>71500</v>
      </c>
      <c r="G865" s="51">
        <f>F865*$B$7</f>
        <v>178750</v>
      </c>
      <c r="H865" s="51">
        <f>G865-F865</f>
        <v>107250</v>
      </c>
      <c r="I865" s="52">
        <f>H865/G865</f>
        <v>0.6</v>
      </c>
      <c r="J865" s="53" t="n"/>
      <c r="K865" s="54" t="n"/>
    </row>
    <row r="866">
      <c r="A866" s="39" t="inlineStr">
        <is>
          <t>Issey Miyake</t>
        </is>
      </c>
      <c r="B866" s="47" t="inlineStr">
        <is>
          <t>ISSEY MIYAKE L'EAU D'ISSEY EDT 100ML FEM</t>
        </is>
      </c>
      <c r="C866" s="48" t="n">
        <v>100</v>
      </c>
      <c r="D866" s="49" t="inlineStr">
        <is>
          <t>Diseñador</t>
        </is>
      </c>
      <c r="E866" s="50" t="n">
        <v>39</v>
      </c>
      <c r="F866" s="51">
        <f>E866*$B$5*(1+$B$6)</f>
        <v>50700</v>
      </c>
      <c r="G866" s="51">
        <f>F866*$B$7</f>
        <v>126750</v>
      </c>
      <c r="H866" s="51">
        <f>G866-F866</f>
        <v>76050</v>
      </c>
      <c r="I866" s="52">
        <f>H866/G866</f>
        <v>0.6</v>
      </c>
      <c r="J866" s="53" t="n"/>
      <c r="K866" s="54" t="n"/>
    </row>
    <row r="867">
      <c r="A867" s="39" t="inlineStr">
        <is>
          <t>Issey Miyake</t>
        </is>
      </c>
      <c r="B867" s="47" t="inlineStr">
        <is>
          <t>ISSEY MIYAKE L'EAU D'ISSEY EDT 50ML FEM</t>
        </is>
      </c>
      <c r="C867" s="48" t="n">
        <v>50</v>
      </c>
      <c r="D867" s="49" t="inlineStr">
        <is>
          <t>Diseñador</t>
        </is>
      </c>
      <c r="E867" s="50" t="n">
        <v>25</v>
      </c>
      <c r="F867" s="51">
        <f>E867*$B$5*(1+$B$6)</f>
        <v>32500</v>
      </c>
      <c r="G867" s="51">
        <f>F867*$B$7</f>
        <v>81250</v>
      </c>
      <c r="H867" s="51">
        <f>G867-F867</f>
        <v>48750</v>
      </c>
      <c r="I867" s="52">
        <f>H867/G867</f>
        <v>0.6</v>
      </c>
      <c r="J867" s="53" t="n"/>
      <c r="K867" s="54" t="n"/>
    </row>
    <row r="868">
      <c r="A868" s="39" t="inlineStr">
        <is>
          <t>Issey Miyake</t>
        </is>
      </c>
      <c r="B868" s="47" t="inlineStr">
        <is>
          <t>ISSEY MIYAKE L'EAU D'ISSEY INTENSE EDT 125ML MASC</t>
        </is>
      </c>
      <c r="C868" s="48" t="n">
        <v>125</v>
      </c>
      <c r="D868" s="49" t="inlineStr">
        <is>
          <t>Diseñador</t>
        </is>
      </c>
      <c r="E868" s="50" t="n">
        <v>31</v>
      </c>
      <c r="F868" s="51">
        <f>E868*$B$5*(1+$B$6)</f>
        <v>40300</v>
      </c>
      <c r="G868" s="51">
        <f>F868*$B$7</f>
        <v>100750</v>
      </c>
      <c r="H868" s="51">
        <f>G868-F868</f>
        <v>60450</v>
      </c>
      <c r="I868" s="52">
        <f>H868/G868</f>
        <v>0.6</v>
      </c>
      <c r="J868" s="53" t="n"/>
      <c r="K868" s="54" t="n"/>
    </row>
    <row r="869">
      <c r="A869" s="39" t="inlineStr">
        <is>
          <t>Issey Miyake</t>
        </is>
      </c>
      <c r="B869" s="47" t="inlineStr">
        <is>
          <t>ISSEY MIYAKE L'EAU D'ISSEY INTENSE EDT 75ML MASC</t>
        </is>
      </c>
      <c r="C869" s="48" t="n">
        <v>75</v>
      </c>
      <c r="D869" s="49" t="inlineStr">
        <is>
          <t>Diseñador</t>
        </is>
      </c>
      <c r="E869" s="50" t="n">
        <v>30</v>
      </c>
      <c r="F869" s="51">
        <f>E869*$B$5*(1+$B$6)</f>
        <v>39000</v>
      </c>
      <c r="G869" s="51">
        <f>F869*$B$7</f>
        <v>97500</v>
      </c>
      <c r="H869" s="51">
        <f>G869-F869</f>
        <v>58500</v>
      </c>
      <c r="I869" s="52">
        <f>H869/G869</f>
        <v>0.6</v>
      </c>
      <c r="J869" s="53" t="n"/>
      <c r="K869" s="54" t="n"/>
    </row>
    <row r="870">
      <c r="A870" s="39" t="inlineStr">
        <is>
          <t>Issey Miyake</t>
        </is>
      </c>
      <c r="B870" s="47" t="inlineStr">
        <is>
          <t>ISSEY MIYAKE L'EAU D'ISSEY POUR HOMME EDT 125ML MASC</t>
        </is>
      </c>
      <c r="C870" s="48" t="n">
        <v>125</v>
      </c>
      <c r="D870" s="49" t="inlineStr">
        <is>
          <t>Diseñador</t>
        </is>
      </c>
      <c r="E870" s="50" t="n">
        <v>34.25</v>
      </c>
      <c r="F870" s="51">
        <f>E870*$B$5*(1+$B$6)</f>
        <v>44525</v>
      </c>
      <c r="G870" s="51">
        <f>F870*$B$7</f>
        <v>111312.5</v>
      </c>
      <c r="H870" s="51">
        <f>G870-F870</f>
        <v>66787.5</v>
      </c>
      <c r="I870" s="52">
        <f>H870/G870</f>
        <v>0.6</v>
      </c>
      <c r="J870" s="53" t="n"/>
      <c r="K870" s="54" t="n"/>
    </row>
    <row r="871">
      <c r="A871" s="39" t="inlineStr">
        <is>
          <t>Issey Miyake</t>
        </is>
      </c>
      <c r="B871" s="47" t="inlineStr">
        <is>
          <t>ISSEY MIYAKE L'EAU D'ISSEY POUR HOMME EDT 200ML MASC</t>
        </is>
      </c>
      <c r="C871" s="48" t="n">
        <v>200</v>
      </c>
      <c r="D871" s="49" t="inlineStr">
        <is>
          <t>Diseñador</t>
        </is>
      </c>
      <c r="E871" s="50" t="n">
        <v>55.5</v>
      </c>
      <c r="F871" s="51">
        <f>E871*$B$5*(1+$B$6)</f>
        <v>72150</v>
      </c>
      <c r="G871" s="51">
        <f>F871*$B$7</f>
        <v>180375</v>
      </c>
      <c r="H871" s="51">
        <f>G871-F871</f>
        <v>108225</v>
      </c>
      <c r="I871" s="52">
        <f>H871/G871</f>
        <v>0.6</v>
      </c>
      <c r="J871" s="53" t="n"/>
      <c r="K871" s="54" t="n"/>
    </row>
    <row r="872">
      <c r="A872" s="39" t="inlineStr">
        <is>
          <t>Issey Miyake</t>
        </is>
      </c>
      <c r="B872" s="47" t="inlineStr">
        <is>
          <t>ISSEY MIYAKE L'EAU D'ISSEY POUR HOMME EDT 40ML MASC</t>
        </is>
      </c>
      <c r="C872" s="48" t="n">
        <v>40</v>
      </c>
      <c r="D872" s="49" t="inlineStr">
        <is>
          <t>Diseñador</t>
        </is>
      </c>
      <c r="E872" s="50" t="n">
        <v>25</v>
      </c>
      <c r="F872" s="51">
        <f>E872*$B$5*(1+$B$6)</f>
        <v>32500</v>
      </c>
      <c r="G872" s="51">
        <f>F872*$B$7</f>
        <v>81250</v>
      </c>
      <c r="H872" s="51">
        <f>G872-F872</f>
        <v>48750</v>
      </c>
      <c r="I872" s="52">
        <f>H872/G872</f>
        <v>0.6</v>
      </c>
      <c r="J872" s="53" t="n"/>
      <c r="K872" s="54" t="n"/>
    </row>
    <row r="873">
      <c r="A873" s="39" t="inlineStr">
        <is>
          <t>Issey Miyake</t>
        </is>
      </c>
      <c r="B873" s="47" t="inlineStr">
        <is>
          <t>ISSEY MIYAKE L'EAU D'ISSEY POUR HOMME VETIVER EDT INTENSE 100ML</t>
        </is>
      </c>
      <c r="C873" s="48" t="n">
        <v>100</v>
      </c>
      <c r="D873" s="49" t="inlineStr">
        <is>
          <t>Diseñador</t>
        </is>
      </c>
      <c r="E873" s="50" t="n">
        <v>70</v>
      </c>
      <c r="F873" s="51">
        <f>E873*$B$5*(1+$B$6)</f>
        <v>91000</v>
      </c>
      <c r="G873" s="51">
        <f>F873*$B$7</f>
        <v>227500</v>
      </c>
      <c r="H873" s="51">
        <f>G873-F873</f>
        <v>136500</v>
      </c>
      <c r="I873" s="52">
        <f>H873/G873</f>
        <v>0.6</v>
      </c>
      <c r="J873" s="53" t="n"/>
      <c r="K873" s="54" t="n"/>
    </row>
    <row r="874">
      <c r="A874" s="39" t="inlineStr">
        <is>
          <t>Issey Miyake</t>
        </is>
      </c>
      <c r="B874" s="47" t="inlineStr">
        <is>
          <t>ISSEY MIYAKE L'EAU D'ISSEY PURE EDT 90ML</t>
        </is>
      </c>
      <c r="C874" s="48" t="n">
        <v>90</v>
      </c>
      <c r="D874" s="49" t="inlineStr">
        <is>
          <t>Diseñador</t>
        </is>
      </c>
      <c r="E874" s="50" t="n">
        <v>50</v>
      </c>
      <c r="F874" s="51">
        <f>E874*$B$5*(1+$B$6)</f>
        <v>65000</v>
      </c>
      <c r="G874" s="51">
        <f>F874*$B$7</f>
        <v>162500</v>
      </c>
      <c r="H874" s="51">
        <f>G874-F874</f>
        <v>97500</v>
      </c>
      <c r="I874" s="52">
        <f>H874/G874</f>
        <v>0.6</v>
      </c>
      <c r="J874" s="53" t="n"/>
      <c r="K874" s="54" t="n"/>
    </row>
    <row r="875">
      <c r="A875" s="39" t="inlineStr">
        <is>
          <t>Issey Miyake</t>
        </is>
      </c>
      <c r="B875" s="47" t="inlineStr">
        <is>
          <t>ISSEY MIYAKE L'EAU D'ISSEY ROSE &amp; ROSE EDP INTENSE 90ML</t>
        </is>
      </c>
      <c r="C875" s="48" t="n">
        <v>90</v>
      </c>
      <c r="D875" s="49" t="inlineStr">
        <is>
          <t>Diseñador</t>
        </is>
      </c>
      <c r="E875" s="50" t="n">
        <v>43</v>
      </c>
      <c r="F875" s="51">
        <f>E875*$B$5*(1+$B$6)</f>
        <v>55900</v>
      </c>
      <c r="G875" s="51">
        <f>F875*$B$7</f>
        <v>139750</v>
      </c>
      <c r="H875" s="51">
        <f>G875-F875</f>
        <v>83850</v>
      </c>
      <c r="I875" s="52">
        <f>H875/G875</f>
        <v>0.6</v>
      </c>
      <c r="J875" s="53" t="n"/>
      <c r="K875" s="54" t="n"/>
    </row>
    <row r="876">
      <c r="A876" s="39" t="inlineStr">
        <is>
          <t>Issey Miyake</t>
        </is>
      </c>
      <c r="B876" s="47" t="inlineStr">
        <is>
          <t>ISSEY MIYAKE L'EAU D'ISSEY SOLAR VIOLET EDT INTENSE 90ML</t>
        </is>
      </c>
      <c r="C876" s="48" t="n">
        <v>90</v>
      </c>
      <c r="D876" s="49" t="inlineStr">
        <is>
          <t>Diseñador</t>
        </is>
      </c>
      <c r="E876" s="50" t="n">
        <v>60</v>
      </c>
      <c r="F876" s="51">
        <f>E876*$B$5*(1+$B$6)</f>
        <v>78000</v>
      </c>
      <c r="G876" s="51">
        <f>F876*$B$7</f>
        <v>195000</v>
      </c>
      <c r="H876" s="51">
        <f>G876-F876</f>
        <v>117000</v>
      </c>
      <c r="I876" s="52">
        <f>H876/G876</f>
        <v>0.6</v>
      </c>
      <c r="J876" s="53" t="n"/>
      <c r="K876" s="54" t="n"/>
    </row>
    <row r="877">
      <c r="A877" s="39" t="inlineStr">
        <is>
          <t>Issey Miyake</t>
        </is>
      </c>
      <c r="B877" s="47" t="inlineStr">
        <is>
          <t>ISSEY MIYAKE NUIT D'ISSEY EDT 125ML</t>
        </is>
      </c>
      <c r="C877" s="48" t="n">
        <v>125</v>
      </c>
      <c r="D877" s="49" t="inlineStr">
        <is>
          <t>Diseñador</t>
        </is>
      </c>
      <c r="E877" s="50" t="n">
        <v>55.5</v>
      </c>
      <c r="F877" s="51">
        <f>E877*$B$5*(1+$B$6)</f>
        <v>72150</v>
      </c>
      <c r="G877" s="51">
        <f>F877*$B$7</f>
        <v>180375</v>
      </c>
      <c r="H877" s="51">
        <f>G877-F877</f>
        <v>108225</v>
      </c>
      <c r="I877" s="52">
        <f>H877/G877</f>
        <v>0.6</v>
      </c>
      <c r="J877" s="53" t="n"/>
      <c r="K877" s="54" t="n"/>
    </row>
    <row r="878">
      <c r="A878" s="39" t="inlineStr">
        <is>
          <t>Issey Miyake</t>
        </is>
      </c>
      <c r="B878" s="47" t="inlineStr">
        <is>
          <t>TESTER ISSEY MIYAKE L'EAU D'ISSEY EDT 100ML FEM</t>
        </is>
      </c>
      <c r="C878" s="48" t="n">
        <v>100</v>
      </c>
      <c r="D878" s="49" t="inlineStr">
        <is>
          <t>Tester</t>
        </is>
      </c>
      <c r="E878" s="50" t="n">
        <v>30</v>
      </c>
      <c r="F878" s="51">
        <f>E878*$B$5*(1+$B$6)</f>
        <v>39000</v>
      </c>
      <c r="G878" s="51">
        <f>F878*$B$7</f>
        <v>97500</v>
      </c>
      <c r="H878" s="51">
        <f>G878-F878</f>
        <v>58500</v>
      </c>
      <c r="I878" s="52">
        <f>H878/G878</f>
        <v>0.6</v>
      </c>
      <c r="J878" s="53" t="n"/>
      <c r="K878" s="54" t="n"/>
    </row>
    <row r="879">
      <c r="A879" s="39" t="inlineStr">
        <is>
          <t>Issey Miyake</t>
        </is>
      </c>
      <c r="B879" s="47" t="inlineStr">
        <is>
          <t>TESTER ISSEY MIYAKE L'EAU D'ISSEY HOMME EDT 125ML</t>
        </is>
      </c>
      <c r="C879" s="48" t="n">
        <v>125</v>
      </c>
      <c r="D879" s="49" t="inlineStr">
        <is>
          <t>Tester</t>
        </is>
      </c>
      <c r="E879" s="50" t="n">
        <v>31</v>
      </c>
      <c r="F879" s="51">
        <f>E879*$B$5*(1+$B$6)</f>
        <v>40300</v>
      </c>
      <c r="G879" s="51">
        <f>F879*$B$7</f>
        <v>100750</v>
      </c>
      <c r="H879" s="51">
        <f>G879-F879</f>
        <v>60450</v>
      </c>
      <c r="I879" s="52">
        <f>H879/G879</f>
        <v>0.6</v>
      </c>
      <c r="J879" s="53" t="n"/>
      <c r="K879" s="54" t="n"/>
    </row>
    <row r="880">
      <c r="A880" s="39" t="inlineStr">
        <is>
          <t>Jacques Bogart</t>
        </is>
      </c>
      <c r="B880" s="47" t="inlineStr">
        <is>
          <t>JACQUES BOGART SILVER INFINITE EDT 100ML MASC</t>
        </is>
      </c>
      <c r="C880" s="48" t="n">
        <v>100</v>
      </c>
      <c r="D880" s="49" t="inlineStr">
        <is>
          <t>Diseñador</t>
        </is>
      </c>
      <c r="E880" s="50" t="n">
        <v>25</v>
      </c>
      <c r="F880" s="51">
        <f>E880*$B$5*(1+$B$6)</f>
        <v>32500</v>
      </c>
      <c r="G880" s="51">
        <f>F880*$B$7</f>
        <v>81250</v>
      </c>
      <c r="H880" s="51">
        <f>G880-F880</f>
        <v>48750</v>
      </c>
      <c r="I880" s="52">
        <f>H880/G880</f>
        <v>0.6</v>
      </c>
      <c r="J880" s="53" t="n"/>
      <c r="K880" s="54" t="n"/>
    </row>
    <row r="881">
      <c r="A881" s="39" t="inlineStr">
        <is>
          <t>Jacques Bogart</t>
        </is>
      </c>
      <c r="B881" s="47" t="inlineStr">
        <is>
          <t>JACQUES BOGART SILVER SCENT EDT 100ML</t>
        </is>
      </c>
      <c r="C881" s="48" t="n">
        <v>100</v>
      </c>
      <c r="D881" s="49" t="inlineStr">
        <is>
          <t>Diseñador</t>
        </is>
      </c>
      <c r="E881" s="50" t="n">
        <v>15.99</v>
      </c>
      <c r="F881" s="51">
        <f>E881*$B$5*(1+$B$6)</f>
        <v>20787</v>
      </c>
      <c r="G881" s="51">
        <f>F881*$B$7</f>
        <v>51967.5</v>
      </c>
      <c r="H881" s="51">
        <f>G881-F881</f>
        <v>31180.5</v>
      </c>
      <c r="I881" s="52">
        <f>H881/G881</f>
        <v>0.6</v>
      </c>
      <c r="J881" s="53" t="n"/>
      <c r="K881" s="54" t="n"/>
    </row>
    <row r="882">
      <c r="A882" s="39" t="inlineStr">
        <is>
          <t>Jacques Bogart</t>
        </is>
      </c>
      <c r="B882" s="47" t="inlineStr">
        <is>
          <t>TESTER JACQUES BOGART SILVER SCENT EDT 100ML</t>
        </is>
      </c>
      <c r="C882" s="48" t="n">
        <v>100</v>
      </c>
      <c r="D882" s="49" t="inlineStr">
        <is>
          <t>Tester</t>
        </is>
      </c>
      <c r="E882" s="50" t="n">
        <v>14.5</v>
      </c>
      <c r="F882" s="51">
        <f>E882*$B$5*(1+$B$6)</f>
        <v>18850</v>
      </c>
      <c r="G882" s="51">
        <f>F882*$B$7</f>
        <v>47125</v>
      </c>
      <c r="H882" s="51">
        <f>G882-F882</f>
        <v>28275</v>
      </c>
      <c r="I882" s="52">
        <f>H882/G882</f>
        <v>0.6</v>
      </c>
      <c r="J882" s="53" t="n"/>
      <c r="K882" s="54" t="n"/>
    </row>
    <row r="883">
      <c r="A883" s="39" t="inlineStr">
        <is>
          <t>Jacques Bogart</t>
        </is>
      </c>
      <c r="B883" s="47" t="inlineStr">
        <is>
          <t>TESTER JACQUES BOGART SILVER SCENT INTENSE EDT 100ML</t>
        </is>
      </c>
      <c r="C883" s="48" t="n">
        <v>100</v>
      </c>
      <c r="D883" s="49" t="inlineStr">
        <is>
          <t>Tester</t>
        </is>
      </c>
      <c r="E883" s="50" t="n">
        <v>17</v>
      </c>
      <c r="F883" s="51">
        <f>E883*$B$5*(1+$B$6)</f>
        <v>22100</v>
      </c>
      <c r="G883" s="51">
        <f>F883*$B$7</f>
        <v>55250</v>
      </c>
      <c r="H883" s="51">
        <f>G883-F883</f>
        <v>33150</v>
      </c>
      <c r="I883" s="52">
        <f>H883/G883</f>
        <v>0.6</v>
      </c>
      <c r="J883" s="53" t="n"/>
      <c r="K883" s="54" t="n"/>
    </row>
    <row r="884">
      <c r="A884" s="39" t="inlineStr">
        <is>
          <t>Jean Paul Gaultier</t>
        </is>
      </c>
      <c r="B884" s="47" t="inlineStr">
        <is>
          <t>JEAN PAUL G CLASSIQUE EDT 100ML FEM</t>
        </is>
      </c>
      <c r="C884" s="48" t="n">
        <v>100</v>
      </c>
      <c r="D884" s="49" t="inlineStr">
        <is>
          <t>Diseñador</t>
        </is>
      </c>
      <c r="E884" s="50" t="n">
        <v>64.90000000000001</v>
      </c>
      <c r="F884" s="51">
        <f>E884*$B$5*(1+$B$6)</f>
        <v>84370</v>
      </c>
      <c r="G884" s="51">
        <f>F884*$B$7</f>
        <v>210925</v>
      </c>
      <c r="H884" s="51">
        <f>G884-F884</f>
        <v>126555</v>
      </c>
      <c r="I884" s="52">
        <f>H884/G884</f>
        <v>0.6</v>
      </c>
      <c r="J884" s="53" t="n"/>
      <c r="K884" s="54" t="n"/>
    </row>
    <row r="885">
      <c r="A885" s="39" t="inlineStr">
        <is>
          <t>Jean Paul Gaultier</t>
        </is>
      </c>
      <c r="B885" s="47" t="inlineStr">
        <is>
          <t>JEAN PAUL G CLASSIQUE LES FEMME EDP 100ML (ROSA)</t>
        </is>
      </c>
      <c r="C885" s="48" t="n">
        <v>100</v>
      </c>
      <c r="D885" s="49" t="inlineStr">
        <is>
          <t>Diseñador</t>
        </is>
      </c>
      <c r="E885" s="50" t="n">
        <v>85</v>
      </c>
      <c r="F885" s="51">
        <f>E885*$B$5*(1+$B$6)</f>
        <v>110500</v>
      </c>
      <c r="G885" s="51">
        <f>F885*$B$7</f>
        <v>276250</v>
      </c>
      <c r="H885" s="51">
        <f>G885-F885</f>
        <v>165750</v>
      </c>
      <c r="I885" s="52">
        <f>H885/G885</f>
        <v>0.6</v>
      </c>
      <c r="J885" s="53" t="n"/>
      <c r="K885" s="54" t="n"/>
    </row>
    <row r="886">
      <c r="A886" s="39" t="inlineStr">
        <is>
          <t>Jean Paul Gaultier</t>
        </is>
      </c>
      <c r="B886" s="47" t="inlineStr">
        <is>
          <t>JEAN PAUL G DIVINE COUTURE EDP 100ML FEM</t>
        </is>
      </c>
      <c r="C886" s="48" t="n">
        <v>100</v>
      </c>
      <c r="D886" s="49" t="inlineStr">
        <is>
          <t>Diseñador</t>
        </is>
      </c>
      <c r="E886" s="50" t="n">
        <v>103</v>
      </c>
      <c r="F886" s="51">
        <f>E886*$B$5*(1+$B$6)</f>
        <v>133900</v>
      </c>
      <c r="G886" s="51">
        <f>F886*$B$7</f>
        <v>334750</v>
      </c>
      <c r="H886" s="51">
        <f>G886-F886</f>
        <v>200850</v>
      </c>
      <c r="I886" s="52">
        <f>H886/G886</f>
        <v>0.6</v>
      </c>
      <c r="J886" s="53" t="n"/>
      <c r="K886" s="54" t="n"/>
    </row>
    <row r="887">
      <c r="A887" s="39" t="inlineStr">
        <is>
          <t>Jean Paul Gaultier</t>
        </is>
      </c>
      <c r="B887" s="47" t="inlineStr">
        <is>
          <t>JEAN PAUL G DIVINE COUTURE EDP 50ML FEM</t>
        </is>
      </c>
      <c r="C887" s="48" t="n">
        <v>50</v>
      </c>
      <c r="D887" s="49" t="inlineStr">
        <is>
          <t>Diseñador</t>
        </is>
      </c>
      <c r="E887" s="50" t="n">
        <v>77.5</v>
      </c>
      <c r="F887" s="51">
        <f>E887*$B$5*(1+$B$6)</f>
        <v>100750</v>
      </c>
      <c r="G887" s="51">
        <f>F887*$B$7</f>
        <v>251875</v>
      </c>
      <c r="H887" s="51">
        <f>G887-F887</f>
        <v>151125</v>
      </c>
      <c r="I887" s="52">
        <f>H887/G887</f>
        <v>0.6</v>
      </c>
      <c r="J887" s="53" t="n"/>
      <c r="K887" s="54" t="n"/>
    </row>
    <row r="888">
      <c r="A888" s="39" t="inlineStr">
        <is>
          <t>Jean Paul Gaultier</t>
        </is>
      </c>
      <c r="B888" s="47" t="inlineStr">
        <is>
          <t>JEAN PAUL G DIVINE EDP 100ML FEM</t>
        </is>
      </c>
      <c r="C888" s="48" t="n">
        <v>100</v>
      </c>
      <c r="D888" s="49" t="inlineStr">
        <is>
          <t>Diseñador</t>
        </is>
      </c>
      <c r="E888" s="50" t="n">
        <v>88</v>
      </c>
      <c r="F888" s="51">
        <f>E888*$B$5*(1+$B$6)</f>
        <v>114400</v>
      </c>
      <c r="G888" s="51">
        <f>F888*$B$7</f>
        <v>286000</v>
      </c>
      <c r="H888" s="51">
        <f>G888-F888</f>
        <v>171600</v>
      </c>
      <c r="I888" s="52">
        <f>H888/G888</f>
        <v>0.6</v>
      </c>
      <c r="J888" s="53" t="n"/>
      <c r="K888" s="54" t="n"/>
    </row>
    <row r="889">
      <c r="A889" s="39" t="inlineStr">
        <is>
          <t>Jean Paul Gaultier</t>
        </is>
      </c>
      <c r="B889" s="47" t="inlineStr">
        <is>
          <t>JEAN PAUL G DIVINE ELIXIR PARFUM 100ML FEM</t>
        </is>
      </c>
      <c r="C889" s="48" t="n">
        <v>100</v>
      </c>
      <c r="D889" s="49" t="inlineStr">
        <is>
          <t>Diseñador</t>
        </is>
      </c>
      <c r="E889" s="50" t="n">
        <v>103</v>
      </c>
      <c r="F889" s="51">
        <f>E889*$B$5*(1+$B$6)</f>
        <v>133900</v>
      </c>
      <c r="G889" s="51">
        <f>F889*$B$7</f>
        <v>334750</v>
      </c>
      <c r="H889" s="51">
        <f>G889-F889</f>
        <v>200850</v>
      </c>
      <c r="I889" s="52">
        <f>H889/G889</f>
        <v>0.6</v>
      </c>
      <c r="J889" s="53" t="n"/>
      <c r="K889" s="54" t="n"/>
    </row>
    <row r="890">
      <c r="A890" s="39" t="inlineStr">
        <is>
          <t>Jean Paul Gaultier</t>
        </is>
      </c>
      <c r="B890" s="47" t="inlineStr">
        <is>
          <t>JEAN PAUL G LA BELLE EDP 100ML FEM</t>
        </is>
      </c>
      <c r="C890" s="48" t="n">
        <v>100</v>
      </c>
      <c r="D890" s="49" t="inlineStr">
        <is>
          <t>Diseñador</t>
        </is>
      </c>
      <c r="E890" s="50" t="n">
        <v>69</v>
      </c>
      <c r="F890" s="51">
        <f>E890*$B$5*(1+$B$6)</f>
        <v>89700</v>
      </c>
      <c r="G890" s="51">
        <f>F890*$B$7</f>
        <v>224250</v>
      </c>
      <c r="H890" s="51">
        <f>G890-F890</f>
        <v>134550</v>
      </c>
      <c r="I890" s="52">
        <f>H890/G890</f>
        <v>0.6</v>
      </c>
      <c r="J890" s="53" t="n"/>
      <c r="K890" s="54" t="n"/>
    </row>
    <row r="891">
      <c r="A891" s="39" t="inlineStr">
        <is>
          <t>Jean Paul Gaultier</t>
        </is>
      </c>
      <c r="B891" s="47" t="inlineStr">
        <is>
          <t>JEAN PAUL G LA BELLE PARADISE GARDEN EDP 100ML FEM</t>
        </is>
      </c>
      <c r="C891" s="48" t="n">
        <v>100</v>
      </c>
      <c r="D891" s="49" t="inlineStr">
        <is>
          <t>Diseñador</t>
        </is>
      </c>
      <c r="E891" s="50" t="n">
        <v>86</v>
      </c>
      <c r="F891" s="51">
        <f>E891*$B$5*(1+$B$6)</f>
        <v>111800</v>
      </c>
      <c r="G891" s="51">
        <f>F891*$B$7</f>
        <v>279500</v>
      </c>
      <c r="H891" s="51">
        <f>G891-F891</f>
        <v>167700</v>
      </c>
      <c r="I891" s="52">
        <f>H891/G891</f>
        <v>0.6</v>
      </c>
      <c r="J891" s="53" t="n"/>
      <c r="K891" s="54" t="n"/>
    </row>
    <row r="892">
      <c r="A892" s="39" t="inlineStr">
        <is>
          <t>Jean Paul Gaultier</t>
        </is>
      </c>
      <c r="B892" s="47" t="inlineStr">
        <is>
          <t>JEAN PAUL G LE BEAU EDT 125ML MASC</t>
        </is>
      </c>
      <c r="C892" s="48" t="n">
        <v>125</v>
      </c>
      <c r="D892" s="49" t="inlineStr">
        <is>
          <t>Diseñador</t>
        </is>
      </c>
      <c r="E892" s="50" t="n">
        <v>65</v>
      </c>
      <c r="F892" s="51">
        <f>E892*$B$5*(1+$B$6)</f>
        <v>84500</v>
      </c>
      <c r="G892" s="51">
        <f>F892*$B$7</f>
        <v>211250</v>
      </c>
      <c r="H892" s="51">
        <f>G892-F892</f>
        <v>126750</v>
      </c>
      <c r="I892" s="52">
        <f>H892/G892</f>
        <v>0.6</v>
      </c>
      <c r="J892" s="53" t="n"/>
      <c r="K892" s="54" t="n"/>
    </row>
    <row r="893">
      <c r="A893" s="39" t="inlineStr">
        <is>
          <t>Jean Paul Gaultier</t>
        </is>
      </c>
      <c r="B893" s="47" t="inlineStr">
        <is>
          <t>JEAN PAUL G LE BEAU LE PARFUM INTENSE 125ML</t>
        </is>
      </c>
      <c r="C893" s="48" t="n">
        <v>125</v>
      </c>
      <c r="D893" s="49" t="inlineStr">
        <is>
          <t>Diseñador</t>
        </is>
      </c>
      <c r="E893" s="50" t="n">
        <v>95</v>
      </c>
      <c r="F893" s="51">
        <f>E893*$B$5*(1+$B$6)</f>
        <v>123500</v>
      </c>
      <c r="G893" s="51">
        <f>F893*$B$7</f>
        <v>308750</v>
      </c>
      <c r="H893" s="51">
        <f>G893-F893</f>
        <v>185250</v>
      </c>
      <c r="I893" s="52">
        <f>H893/G893</f>
        <v>0.6</v>
      </c>
      <c r="J893" s="53" t="n"/>
      <c r="K893" s="54" t="n"/>
    </row>
    <row r="894">
      <c r="A894" s="39" t="inlineStr">
        <is>
          <t>Jean Paul Gaultier</t>
        </is>
      </c>
      <c r="B894" s="47" t="inlineStr">
        <is>
          <t>JEAN PAUL G LE BEAU PARADISE GARDEN EDP 125ML</t>
        </is>
      </c>
      <c r="C894" s="48" t="n">
        <v>125</v>
      </c>
      <c r="D894" s="49" t="inlineStr">
        <is>
          <t>Diseñador</t>
        </is>
      </c>
      <c r="E894" s="50" t="n">
        <v>84</v>
      </c>
      <c r="F894" s="51">
        <f>E894*$B$5*(1+$B$6)</f>
        <v>109200</v>
      </c>
      <c r="G894" s="51">
        <f>F894*$B$7</f>
        <v>273000</v>
      </c>
      <c r="H894" s="51">
        <f>G894-F894</f>
        <v>163800</v>
      </c>
      <c r="I894" s="52">
        <f>H894/G894</f>
        <v>0.6</v>
      </c>
      <c r="J894" s="53" t="n"/>
      <c r="K894" s="54" t="n"/>
    </row>
    <row r="895">
      <c r="A895" s="39" t="inlineStr">
        <is>
          <t>Jean Paul Gaultier</t>
        </is>
      </c>
      <c r="B895" s="47" t="inlineStr">
        <is>
          <t>JEAN PAUL G LE MALE EDT 75ML MASC</t>
        </is>
      </c>
      <c r="C895" s="48" t="n">
        <v>75</v>
      </c>
      <c r="D895" s="49" t="inlineStr">
        <is>
          <t>Diseñador</t>
        </is>
      </c>
      <c r="E895" s="50" t="n">
        <v>44</v>
      </c>
      <c r="F895" s="51">
        <f>E895*$B$5*(1+$B$6)</f>
        <v>57200</v>
      </c>
      <c r="G895" s="51">
        <f>F895*$B$7</f>
        <v>143000</v>
      </c>
      <c r="H895" s="51">
        <f>G895-F895</f>
        <v>85800</v>
      </c>
      <c r="I895" s="52">
        <f>H895/G895</f>
        <v>0.6</v>
      </c>
      <c r="J895" s="53" t="n"/>
      <c r="K895" s="54" t="n"/>
    </row>
    <row r="896">
      <c r="A896" s="39" t="inlineStr">
        <is>
          <t>Jean Paul Gaultier</t>
        </is>
      </c>
      <c r="B896" s="47" t="inlineStr">
        <is>
          <t>JEAN PAUL G LE MALE ELIXIR ABSOLU 125ML MASC</t>
        </is>
      </c>
      <c r="C896" s="48" t="n">
        <v>125</v>
      </c>
      <c r="D896" s="49" t="inlineStr">
        <is>
          <t>Diseñador</t>
        </is>
      </c>
      <c r="E896" s="50" t="n">
        <v>96</v>
      </c>
      <c r="F896" s="51">
        <f>E896*$B$5*(1+$B$6)</f>
        <v>124800</v>
      </c>
      <c r="G896" s="51">
        <f>F896*$B$7</f>
        <v>312000</v>
      </c>
      <c r="H896" s="51">
        <f>G896-F896</f>
        <v>187200</v>
      </c>
      <c r="I896" s="52">
        <f>H896/G896</f>
        <v>0.6</v>
      </c>
      <c r="J896" s="53" t="n"/>
      <c r="K896" s="54" t="n"/>
    </row>
    <row r="897">
      <c r="A897" s="39" t="inlineStr">
        <is>
          <t>Jean Paul Gaultier</t>
        </is>
      </c>
      <c r="B897" s="47" t="inlineStr">
        <is>
          <t>JEAN PAUL G LE MALE ELIXIR ABSOLU 200ML MASC</t>
        </is>
      </c>
      <c r="C897" s="48" t="n">
        <v>200</v>
      </c>
      <c r="D897" s="49" t="inlineStr">
        <is>
          <t>Diseñador</t>
        </is>
      </c>
      <c r="E897" s="50" t="n">
        <v>115</v>
      </c>
      <c r="F897" s="51">
        <f>E897*$B$5*(1+$B$6)</f>
        <v>149500</v>
      </c>
      <c r="G897" s="51">
        <f>F897*$B$7</f>
        <v>373750</v>
      </c>
      <c r="H897" s="51">
        <f>G897-F897</f>
        <v>224250</v>
      </c>
      <c r="I897" s="52">
        <f>H897/G897</f>
        <v>0.6</v>
      </c>
      <c r="J897" s="53" t="n"/>
      <c r="K897" s="54" t="n"/>
    </row>
    <row r="898">
      <c r="A898" s="39" t="inlineStr">
        <is>
          <t>Jean Paul Gaultier</t>
        </is>
      </c>
      <c r="B898" s="47" t="inlineStr">
        <is>
          <t>JEAN PAUL G LE MALE ELIXIR PARFUM 125ML MASC</t>
        </is>
      </c>
      <c r="C898" s="48" t="n">
        <v>125</v>
      </c>
      <c r="D898" s="49" t="inlineStr">
        <is>
          <t>Diseñador</t>
        </is>
      </c>
      <c r="E898" s="50" t="n">
        <v>94</v>
      </c>
      <c r="F898" s="51">
        <f>E898*$B$5*(1+$B$6)</f>
        <v>122200</v>
      </c>
      <c r="G898" s="51">
        <f>F898*$B$7</f>
        <v>305500</v>
      </c>
      <c r="H898" s="51">
        <f>G898-F898</f>
        <v>183300</v>
      </c>
      <c r="I898" s="52">
        <f>H898/G898</f>
        <v>0.6</v>
      </c>
      <c r="J898" s="53" t="n"/>
      <c r="K898" s="54" t="n"/>
    </row>
    <row r="899">
      <c r="A899" s="39" t="inlineStr">
        <is>
          <t>Jean Paul Gaultier</t>
        </is>
      </c>
      <c r="B899" s="47" t="inlineStr">
        <is>
          <t>JEAN PAUL G LE MALE ELIXIR PARFUM 200ML MASC</t>
        </is>
      </c>
      <c r="C899" s="48" t="n">
        <v>200</v>
      </c>
      <c r="D899" s="49" t="inlineStr">
        <is>
          <t>Diseñador</t>
        </is>
      </c>
      <c r="E899" s="50" t="n">
        <v>105</v>
      </c>
      <c r="F899" s="51">
        <f>E899*$B$5*(1+$B$6)</f>
        <v>136500</v>
      </c>
      <c r="G899" s="51">
        <f>F899*$B$7</f>
        <v>341250</v>
      </c>
      <c r="H899" s="51">
        <f>G899-F899</f>
        <v>204750</v>
      </c>
      <c r="I899" s="52">
        <f>H899/G899</f>
        <v>0.6</v>
      </c>
      <c r="J899" s="53" t="n"/>
      <c r="K899" s="54" t="n"/>
    </row>
    <row r="900">
      <c r="A900" s="39" t="inlineStr">
        <is>
          <t>Jean Paul Gaultier</t>
        </is>
      </c>
      <c r="B900" s="47" t="inlineStr">
        <is>
          <t>JEAN PAUL G LE MALE LE PARFUM EDP INTENSE 125ML</t>
        </is>
      </c>
      <c r="C900" s="48" t="n">
        <v>125</v>
      </c>
      <c r="D900" s="49" t="inlineStr">
        <is>
          <t>Diseñador</t>
        </is>
      </c>
      <c r="E900" s="50" t="n">
        <v>87</v>
      </c>
      <c r="F900" s="51">
        <f>E900*$B$5*(1+$B$6)</f>
        <v>113100</v>
      </c>
      <c r="G900" s="51">
        <f>F900*$B$7</f>
        <v>282750</v>
      </c>
      <c r="H900" s="51">
        <f>G900-F900</f>
        <v>169650</v>
      </c>
      <c r="I900" s="52">
        <f>H900/G900</f>
        <v>0.6</v>
      </c>
      <c r="J900" s="53" t="n"/>
      <c r="K900" s="54" t="n"/>
    </row>
    <row r="901">
      <c r="A901" s="39" t="inlineStr">
        <is>
          <t>Jean Paul Gaultier</t>
        </is>
      </c>
      <c r="B901" s="47" t="inlineStr">
        <is>
          <t>JEAN PAUL G LE MALE ON BOARD EDT 125ML (AZUL) MASC</t>
        </is>
      </c>
      <c r="C901" s="48" t="n">
        <v>125</v>
      </c>
      <c r="D901" s="49" t="inlineStr">
        <is>
          <t>Diseñador</t>
        </is>
      </c>
      <c r="E901" s="50" t="n">
        <v>85</v>
      </c>
      <c r="F901" s="51">
        <f>E901*$B$5*(1+$B$6)</f>
        <v>110500</v>
      </c>
      <c r="G901" s="51">
        <f>F901*$B$7</f>
        <v>276250</v>
      </c>
      <c r="H901" s="51">
        <f>G901-F901</f>
        <v>165750</v>
      </c>
      <c r="I901" s="52">
        <f>H901/G901</f>
        <v>0.6</v>
      </c>
      <c r="J901" s="53" t="n"/>
      <c r="K901" s="54" t="n"/>
    </row>
    <row r="902">
      <c r="A902" s="39" t="inlineStr">
        <is>
          <t>Jean Paul Gaultier</t>
        </is>
      </c>
      <c r="B902" s="47" t="inlineStr">
        <is>
          <t>JEAN PAUL G SCANDAL ABSOLU PARFUM 100ML MASC</t>
        </is>
      </c>
      <c r="C902" s="48" t="n">
        <v>100</v>
      </c>
      <c r="D902" s="49" t="inlineStr">
        <is>
          <t>Diseñador</t>
        </is>
      </c>
      <c r="E902" s="50" t="n">
        <v>76</v>
      </c>
      <c r="F902" s="51">
        <f>E902*$B$5*(1+$B$6)</f>
        <v>98800</v>
      </c>
      <c r="G902" s="51">
        <f>F902*$B$7</f>
        <v>247000</v>
      </c>
      <c r="H902" s="51">
        <f>G902-F902</f>
        <v>148200</v>
      </c>
      <c r="I902" s="52">
        <f>H902/G902</f>
        <v>0.6</v>
      </c>
      <c r="J902" s="53" t="n"/>
      <c r="K902" s="54" t="n"/>
    </row>
    <row r="903">
      <c r="A903" s="39" t="inlineStr">
        <is>
          <t>Jean Paul Gaultier</t>
        </is>
      </c>
      <c r="B903" s="47" t="inlineStr">
        <is>
          <t>JEAN PAUL G SCANDAL EDP 80ML FEM</t>
        </is>
      </c>
      <c r="C903" s="48" t="n">
        <v>80</v>
      </c>
      <c r="D903" s="49" t="inlineStr">
        <is>
          <t>Diseñador</t>
        </is>
      </c>
      <c r="E903" s="50" t="n">
        <v>76</v>
      </c>
      <c r="F903" s="51">
        <f>E903*$B$5*(1+$B$6)</f>
        <v>98800</v>
      </c>
      <c r="G903" s="51">
        <f>F903*$B$7</f>
        <v>247000</v>
      </c>
      <c r="H903" s="51">
        <f>G903-F903</f>
        <v>148200</v>
      </c>
      <c r="I903" s="52">
        <f>H903/G903</f>
        <v>0.6</v>
      </c>
      <c r="J903" s="53" t="n"/>
      <c r="K903" s="54" t="n"/>
    </row>
    <row r="904">
      <c r="A904" s="39" t="inlineStr">
        <is>
          <t>Jean Paul Gaultier</t>
        </is>
      </c>
      <c r="B904" s="47" t="inlineStr">
        <is>
          <t>JEAN PAUL G SCANDAL EDP INTENSE 100ML</t>
        </is>
      </c>
      <c r="C904" s="48" t="n">
        <v>100</v>
      </c>
      <c r="D904" s="49" t="inlineStr">
        <is>
          <t>Diseñador</t>
        </is>
      </c>
      <c r="E904" s="50" t="n">
        <v>85</v>
      </c>
      <c r="F904" s="51">
        <f>E904*$B$5*(1+$B$6)</f>
        <v>110500</v>
      </c>
      <c r="G904" s="51">
        <f>F904*$B$7</f>
        <v>276250</v>
      </c>
      <c r="H904" s="51">
        <f>G904-F904</f>
        <v>165750</v>
      </c>
      <c r="I904" s="52">
        <f>H904/G904</f>
        <v>0.6</v>
      </c>
      <c r="J904" s="53" t="n"/>
      <c r="K904" s="54" t="n"/>
    </row>
    <row r="905">
      <c r="A905" s="39" t="inlineStr">
        <is>
          <t>Jean Paul Gaultier</t>
        </is>
      </c>
      <c r="B905" s="47" t="inlineStr">
        <is>
          <t>JEAN PAUL G SCANDAL EDP INTENSE 80ML FEM</t>
        </is>
      </c>
      <c r="C905" s="48" t="n">
        <v>80</v>
      </c>
      <c r="D905" s="49" t="inlineStr">
        <is>
          <t>Diseñador</t>
        </is>
      </c>
      <c r="E905" s="50" t="n">
        <v>93</v>
      </c>
      <c r="F905" s="51">
        <f>E905*$B$5*(1+$B$6)</f>
        <v>120900</v>
      </c>
      <c r="G905" s="51">
        <f>F905*$B$7</f>
        <v>302250</v>
      </c>
      <c r="H905" s="51">
        <f>G905-F905</f>
        <v>181350</v>
      </c>
      <c r="I905" s="52">
        <f>H905/G905</f>
        <v>0.6</v>
      </c>
      <c r="J905" s="53" t="n"/>
      <c r="K905" s="54" t="n"/>
    </row>
    <row r="906">
      <c r="A906" s="39" t="inlineStr">
        <is>
          <t>Jean Paul Gaultier</t>
        </is>
      </c>
      <c r="B906" s="47" t="inlineStr">
        <is>
          <t>JEAN PAUL G SCANDAL EDT 100ML+10ML + 75ML SG</t>
        </is>
      </c>
      <c r="C906" s="48" t="n">
        <v>100</v>
      </c>
      <c r="D906" s="49" t="inlineStr">
        <is>
          <t>Diseñador</t>
        </is>
      </c>
      <c r="E906" s="50" t="n">
        <v>80</v>
      </c>
      <c r="F906" s="51">
        <f>E906*$B$5*(1+$B$6)</f>
        <v>104000</v>
      </c>
      <c r="G906" s="51">
        <f>F906*$B$7</f>
        <v>260000</v>
      </c>
      <c r="H906" s="51">
        <f>G906-F906</f>
        <v>156000</v>
      </c>
      <c r="I906" s="52">
        <f>H906/G906</f>
        <v>0.6</v>
      </c>
      <c r="J906" s="53" t="n"/>
      <c r="K906" s="54" t="n"/>
    </row>
    <row r="907">
      <c r="A907" s="39" t="inlineStr">
        <is>
          <t>Jean Paul Gaultier</t>
        </is>
      </c>
      <c r="B907" s="47" t="inlineStr">
        <is>
          <t>JEAN PAUL G SCANDAL GOLD EDP 80ML FEM</t>
        </is>
      </c>
      <c r="C907" s="48" t="n">
        <v>80</v>
      </c>
      <c r="D907" s="49" t="inlineStr">
        <is>
          <t>Diseñador</t>
        </is>
      </c>
      <c r="E907" s="50" t="n">
        <v>76</v>
      </c>
      <c r="F907" s="51">
        <f>E907*$B$5*(1+$B$6)</f>
        <v>98800</v>
      </c>
      <c r="G907" s="51">
        <f>F907*$B$7</f>
        <v>247000</v>
      </c>
      <c r="H907" s="51">
        <f>G907-F907</f>
        <v>148200</v>
      </c>
      <c r="I907" s="52">
        <f>H907/G907</f>
        <v>0.6</v>
      </c>
      <c r="J907" s="53" t="n"/>
      <c r="K907" s="54" t="n"/>
    </row>
    <row r="908">
      <c r="A908" s="39" t="inlineStr">
        <is>
          <t>Jean Paul Gaultier</t>
        </is>
      </c>
      <c r="B908" s="47" t="inlineStr">
        <is>
          <t>JEAN PAUL G SCANDAL PARFUM ELIXIR 100ML MASC</t>
        </is>
      </c>
      <c r="C908" s="48" t="n">
        <v>100</v>
      </c>
      <c r="D908" s="49" t="inlineStr">
        <is>
          <t>Diseñador</t>
        </is>
      </c>
      <c r="E908" s="50" t="n">
        <v>86</v>
      </c>
      <c r="F908" s="51">
        <f>E908*$B$5*(1+$B$6)</f>
        <v>111800</v>
      </c>
      <c r="G908" s="51">
        <f>F908*$B$7</f>
        <v>279500</v>
      </c>
      <c r="H908" s="51">
        <f>G908-F908</f>
        <v>167700</v>
      </c>
      <c r="I908" s="52">
        <f>H908/G908</f>
        <v>0.6</v>
      </c>
      <c r="J908" s="53" t="n"/>
      <c r="K908" s="54" t="n"/>
    </row>
    <row r="909">
      <c r="A909" s="39" t="inlineStr">
        <is>
          <t>Jean Paul Gaultier</t>
        </is>
      </c>
      <c r="B909" s="47" t="inlineStr">
        <is>
          <t>JEAN PAUL G SCANDAL PARFUM ELIXIR 80ML FEM</t>
        </is>
      </c>
      <c r="C909" s="48" t="n">
        <v>80</v>
      </c>
      <c r="D909" s="49" t="inlineStr">
        <is>
          <t>Diseñador</t>
        </is>
      </c>
      <c r="E909" s="50" t="n">
        <v>98.5</v>
      </c>
      <c r="F909" s="51">
        <f>E909*$B$5*(1+$B$6)</f>
        <v>128050</v>
      </c>
      <c r="G909" s="51">
        <f>F909*$B$7</f>
        <v>320125</v>
      </c>
      <c r="H909" s="51">
        <f>G909-F909</f>
        <v>192075</v>
      </c>
      <c r="I909" s="52">
        <f>H909/G909</f>
        <v>0.6</v>
      </c>
      <c r="J909" s="53" t="n"/>
      <c r="K909" s="54" t="n"/>
    </row>
    <row r="910">
      <c r="A910" s="39" t="inlineStr">
        <is>
          <t>Jean Paul Gaultier</t>
        </is>
      </c>
      <c r="B910" s="47" t="inlineStr">
        <is>
          <t>TESTER JEAN PAUL G DIVINE EDP 100ML S/T</t>
        </is>
      </c>
      <c r="C910" s="48" t="n">
        <v>100</v>
      </c>
      <c r="D910" s="49" t="inlineStr">
        <is>
          <t>Tester</t>
        </is>
      </c>
      <c r="E910" s="50" t="n">
        <v>72</v>
      </c>
      <c r="F910" s="51">
        <f>E910*$B$5*(1+$B$6)</f>
        <v>93600</v>
      </c>
      <c r="G910" s="51">
        <f>F910*$B$7</f>
        <v>234000</v>
      </c>
      <c r="H910" s="51">
        <f>G910-F910</f>
        <v>140400</v>
      </c>
      <c r="I910" s="52">
        <f>H910/G910</f>
        <v>0.6</v>
      </c>
      <c r="J910" s="53" t="n"/>
      <c r="K910" s="54" t="n"/>
    </row>
    <row r="911">
      <c r="A911" s="39" t="inlineStr">
        <is>
          <t>Jean Paul Gaultier</t>
        </is>
      </c>
      <c r="B911" s="47" t="inlineStr">
        <is>
          <t>TESTER JEAN PAUL G DIVINE ELIXIR 100ML FEM</t>
        </is>
      </c>
      <c r="C911" s="48" t="n">
        <v>100</v>
      </c>
      <c r="D911" s="49" t="inlineStr">
        <is>
          <t>Tester</t>
        </is>
      </c>
      <c r="E911" s="50" t="n">
        <v>76</v>
      </c>
      <c r="F911" s="51">
        <f>E911*$B$5*(1+$B$6)</f>
        <v>98800</v>
      </c>
      <c r="G911" s="51">
        <f>F911*$B$7</f>
        <v>247000</v>
      </c>
      <c r="H911" s="51">
        <f>G911-F911</f>
        <v>148200</v>
      </c>
      <c r="I911" s="52">
        <f>H911/G911</f>
        <v>0.6</v>
      </c>
      <c r="J911" s="53" t="n"/>
      <c r="K911" s="54" t="n"/>
    </row>
    <row r="912">
      <c r="A912" s="39" t="inlineStr">
        <is>
          <t>Jean Paul Gaultier</t>
        </is>
      </c>
      <c r="B912" s="47" t="inlineStr">
        <is>
          <t>TESTER JEAN PAUL G EDT LE MALE 125ML S/T</t>
        </is>
      </c>
      <c r="C912" s="48" t="n">
        <v>125</v>
      </c>
      <c r="D912" s="49" t="inlineStr">
        <is>
          <t>Tester</t>
        </is>
      </c>
      <c r="E912" s="50" t="n">
        <v>45.5</v>
      </c>
      <c r="F912" s="51">
        <f>E912*$B$5*(1+$B$6)</f>
        <v>59150</v>
      </c>
      <c r="G912" s="51">
        <f>F912*$B$7</f>
        <v>147875</v>
      </c>
      <c r="H912" s="51">
        <f>G912-F912</f>
        <v>88725</v>
      </c>
      <c r="I912" s="52">
        <f>H912/G912</f>
        <v>0.6</v>
      </c>
      <c r="J912" s="53" t="n"/>
      <c r="K912" s="54" t="n"/>
    </row>
    <row r="913">
      <c r="A913" s="39" t="inlineStr">
        <is>
          <t>Jean Paul Gaultier</t>
        </is>
      </c>
      <c r="B913" s="47" t="inlineStr">
        <is>
          <t>TESTER JEAN PAUL G LA BELLE EDP 100ML</t>
        </is>
      </c>
      <c r="C913" s="48" t="n">
        <v>100</v>
      </c>
      <c r="D913" s="49" t="inlineStr">
        <is>
          <t>Tester</t>
        </is>
      </c>
      <c r="E913" s="50" t="n">
        <v>56</v>
      </c>
      <c r="F913" s="51">
        <f>E913*$B$5*(1+$B$6)</f>
        <v>72800</v>
      </c>
      <c r="G913" s="51">
        <f>F913*$B$7</f>
        <v>182000</v>
      </c>
      <c r="H913" s="51">
        <f>G913-F913</f>
        <v>109200</v>
      </c>
      <c r="I913" s="52">
        <f>H913/G913</f>
        <v>0.6</v>
      </c>
      <c r="J913" s="53" t="n"/>
      <c r="K913" s="54" t="n"/>
    </row>
    <row r="914">
      <c r="A914" s="39" t="inlineStr">
        <is>
          <t>Jean Paul Gaultier</t>
        </is>
      </c>
      <c r="B914" s="47" t="inlineStr">
        <is>
          <t>TESTER JEAN PAUL G LE BEAU EDT 125ML MASC</t>
        </is>
      </c>
      <c r="C914" s="48" t="n">
        <v>125</v>
      </c>
      <c r="D914" s="49" t="inlineStr">
        <is>
          <t>Tester</t>
        </is>
      </c>
      <c r="E914" s="50" t="n">
        <v>58</v>
      </c>
      <c r="F914" s="51">
        <f>E914*$B$5*(1+$B$6)</f>
        <v>75400</v>
      </c>
      <c r="G914" s="51">
        <f>F914*$B$7</f>
        <v>188500</v>
      </c>
      <c r="H914" s="51">
        <f>G914-F914</f>
        <v>113100</v>
      </c>
      <c r="I914" s="52">
        <f>H914/G914</f>
        <v>0.6</v>
      </c>
      <c r="J914" s="53" t="n"/>
      <c r="K914" s="54" t="n"/>
    </row>
    <row r="915">
      <c r="A915" s="39" t="inlineStr">
        <is>
          <t>Jean Paul Gaultier</t>
        </is>
      </c>
      <c r="B915" s="47" t="inlineStr">
        <is>
          <t>TESTER JEAN PAUL G LE MALE ELIXIR ABSOLU 125ML S/T</t>
        </is>
      </c>
      <c r="C915" s="48" t="n">
        <v>125</v>
      </c>
      <c r="D915" s="49" t="inlineStr">
        <is>
          <t>Tester</t>
        </is>
      </c>
      <c r="E915" s="50" t="n">
        <v>73</v>
      </c>
      <c r="F915" s="51">
        <f>E915*$B$5*(1+$B$6)</f>
        <v>94900</v>
      </c>
      <c r="G915" s="51">
        <f>F915*$B$7</f>
        <v>237250</v>
      </c>
      <c r="H915" s="51">
        <f>G915-F915</f>
        <v>142350</v>
      </c>
      <c r="I915" s="52">
        <f>H915/G915</f>
        <v>0.6</v>
      </c>
      <c r="J915" s="53" t="n"/>
      <c r="K915" s="54" t="n"/>
    </row>
    <row r="916">
      <c r="A916" s="39" t="inlineStr">
        <is>
          <t>Jean Paul Gaultier</t>
        </is>
      </c>
      <c r="B916" s="47" t="inlineStr">
        <is>
          <t>TESTER JEAN PAUL G LE MALE LE PARFUM EDP INTENSE 125ML</t>
        </is>
      </c>
      <c r="C916" s="48" t="n">
        <v>125</v>
      </c>
      <c r="D916" s="49" t="inlineStr">
        <is>
          <t>Tester</t>
        </is>
      </c>
      <c r="E916" s="50" t="n">
        <v>65</v>
      </c>
      <c r="F916" s="51">
        <f>E916*$B$5*(1+$B$6)</f>
        <v>84500</v>
      </c>
      <c r="G916" s="51">
        <f>F916*$B$7</f>
        <v>211250</v>
      </c>
      <c r="H916" s="51">
        <f>G916-F916</f>
        <v>126750</v>
      </c>
      <c r="I916" s="52">
        <f>H916/G916</f>
        <v>0.6</v>
      </c>
      <c r="J916" s="53" t="n"/>
      <c r="K916" s="54" t="n"/>
    </row>
    <row r="917">
      <c r="A917" s="39" t="inlineStr">
        <is>
          <t>Jean Paul Gaultier</t>
        </is>
      </c>
      <c r="B917" s="47" t="inlineStr">
        <is>
          <t>TESTER JEAN PAUL G SCANDAL ABSOLU PARFUM 100ML MASC C/T</t>
        </is>
      </c>
      <c r="C917" s="48" t="n">
        <v>100</v>
      </c>
      <c r="D917" s="49" t="inlineStr">
        <is>
          <t>Tester</t>
        </is>
      </c>
      <c r="E917" s="50" t="n">
        <v>65</v>
      </c>
      <c r="F917" s="51">
        <f>E917*$B$5*(1+$B$6)</f>
        <v>84500</v>
      </c>
      <c r="G917" s="51">
        <f>F917*$B$7</f>
        <v>211250</v>
      </c>
      <c r="H917" s="51">
        <f>G917-F917</f>
        <v>126750</v>
      </c>
      <c r="I917" s="52">
        <f>H917/G917</f>
        <v>0.6</v>
      </c>
      <c r="J917" s="53" t="n"/>
      <c r="K917" s="54" t="n"/>
    </row>
    <row r="918">
      <c r="A918" s="39" t="inlineStr">
        <is>
          <t>Jean Paul Gaultier</t>
        </is>
      </c>
      <c r="B918" s="47" t="inlineStr">
        <is>
          <t>TESTER JEAN PAUL G SCANDAL ABSOLU PARFUM 80ML FEM</t>
        </is>
      </c>
      <c r="C918" s="48" t="n">
        <v>80</v>
      </c>
      <c r="D918" s="49" t="inlineStr">
        <is>
          <t>Tester</t>
        </is>
      </c>
      <c r="E918" s="50" t="n">
        <v>69</v>
      </c>
      <c r="F918" s="51">
        <f>E918*$B$5*(1+$B$6)</f>
        <v>89700</v>
      </c>
      <c r="G918" s="51">
        <f>F918*$B$7</f>
        <v>224250</v>
      </c>
      <c r="H918" s="51">
        <f>G918-F918</f>
        <v>134550</v>
      </c>
      <c r="I918" s="52">
        <f>H918/G918</f>
        <v>0.6</v>
      </c>
      <c r="J918" s="53" t="n"/>
      <c r="K918" s="54" t="n"/>
    </row>
    <row r="919">
      <c r="A919" s="39" t="inlineStr">
        <is>
          <t>Jean Paul Gaultier</t>
        </is>
      </c>
      <c r="B919" s="47" t="inlineStr">
        <is>
          <t>TESTER JEAN PAUL G SCANDAL EDP 80ML FEM</t>
        </is>
      </c>
      <c r="C919" s="48" t="n">
        <v>80</v>
      </c>
      <c r="D919" s="49" t="inlineStr">
        <is>
          <t>Tester</t>
        </is>
      </c>
      <c r="E919" s="50" t="n">
        <v>65</v>
      </c>
      <c r="F919" s="51">
        <f>E919*$B$5*(1+$B$6)</f>
        <v>84500</v>
      </c>
      <c r="G919" s="51">
        <f>F919*$B$7</f>
        <v>211250</v>
      </c>
      <c r="H919" s="51">
        <f>G919-F919</f>
        <v>126750</v>
      </c>
      <c r="I919" s="52">
        <f>H919/G919</f>
        <v>0.6</v>
      </c>
      <c r="J919" s="53" t="n"/>
      <c r="K919" s="54" t="n"/>
    </row>
    <row r="920">
      <c r="A920" s="39" t="inlineStr">
        <is>
          <t>Jean Paul Gaultier</t>
        </is>
      </c>
      <c r="B920" s="47" t="inlineStr">
        <is>
          <t>TESTER JEAN PAUL G SCANDAL EDT POUR HOMME 100ML</t>
        </is>
      </c>
      <c r="C920" s="48" t="n">
        <v>100</v>
      </c>
      <c r="D920" s="49" t="inlineStr">
        <is>
          <t>Tester</t>
        </is>
      </c>
      <c r="E920" s="50" t="n">
        <v>65</v>
      </c>
      <c r="F920" s="51">
        <f>E920*$B$5*(1+$B$6)</f>
        <v>84500</v>
      </c>
      <c r="G920" s="51">
        <f>F920*$B$7</f>
        <v>211250</v>
      </c>
      <c r="H920" s="51">
        <f>G920-F920</f>
        <v>126750</v>
      </c>
      <c r="I920" s="52">
        <f>H920/G920</f>
        <v>0.6</v>
      </c>
      <c r="J920" s="53" t="n"/>
      <c r="K920" s="54" t="n"/>
    </row>
    <row r="921">
      <c r="A921" s="39" t="inlineStr">
        <is>
          <t>Jean Paul Gaultier</t>
        </is>
      </c>
      <c r="B921" s="47" t="inlineStr">
        <is>
          <t>TESTER JEAN PAUL G SCANDAL INTENSE POUR HOMME 100ML C/T</t>
        </is>
      </c>
      <c r="C921" s="48" t="n">
        <v>100</v>
      </c>
      <c r="D921" s="49" t="inlineStr">
        <is>
          <t>Tester</t>
        </is>
      </c>
      <c r="E921" s="50" t="n">
        <v>75</v>
      </c>
      <c r="F921" s="51">
        <f>E921*$B$5*(1+$B$6)</f>
        <v>97500</v>
      </c>
      <c r="G921" s="51">
        <f>F921*$B$7</f>
        <v>243750</v>
      </c>
      <c r="H921" s="51">
        <f>G921-F921</f>
        <v>146250</v>
      </c>
      <c r="I921" s="52">
        <f>H921/G921</f>
        <v>0.6</v>
      </c>
      <c r="J921" s="53" t="n"/>
      <c r="K921" s="54" t="n"/>
    </row>
    <row r="922">
      <c r="A922" s="39" t="inlineStr">
        <is>
          <t>Jean Paul Gaultier</t>
        </is>
      </c>
      <c r="B922" s="47" t="inlineStr">
        <is>
          <t>TESTER JEAN PAUL G SCANDAL LE PARFUM EDP INTENSE 100ML MASC C/T</t>
        </is>
      </c>
      <c r="C922" s="48" t="n">
        <v>100</v>
      </c>
      <c r="D922" s="49" t="inlineStr">
        <is>
          <t>Tester</t>
        </is>
      </c>
      <c r="E922" s="50" t="n">
        <v>70</v>
      </c>
      <c r="F922" s="51">
        <f>E922*$B$5*(1+$B$6)</f>
        <v>91000</v>
      </c>
      <c r="G922" s="51">
        <f>F922*$B$7</f>
        <v>227500</v>
      </c>
      <c r="H922" s="51">
        <f>G922-F922</f>
        <v>136500</v>
      </c>
      <c r="I922" s="52">
        <f>H922/G922</f>
        <v>0.6</v>
      </c>
      <c r="J922" s="53" t="n"/>
      <c r="K922" s="54" t="n"/>
    </row>
    <row r="923">
      <c r="A923" s="39" t="inlineStr">
        <is>
          <t>Jean Paul Gaultier</t>
        </is>
      </c>
      <c r="B923" s="47" t="inlineStr">
        <is>
          <t>TESTER JEAN PAUL G SCANDAL LE PARFUM EDP INTENSE 80ML FEM C/T</t>
        </is>
      </c>
      <c r="C923" s="48" t="n">
        <v>80</v>
      </c>
      <c r="D923" s="49" t="inlineStr">
        <is>
          <t>Tester</t>
        </is>
      </c>
      <c r="E923" s="50" t="n">
        <v>65</v>
      </c>
      <c r="F923" s="51">
        <f>E923*$B$5*(1+$B$6)</f>
        <v>84500</v>
      </c>
      <c r="G923" s="51">
        <f>F923*$B$7</f>
        <v>211250</v>
      </c>
      <c r="H923" s="51">
        <f>G923-F923</f>
        <v>126750</v>
      </c>
      <c r="I923" s="52">
        <f>H923/G923</f>
        <v>0.6</v>
      </c>
      <c r="J923" s="53" t="n"/>
      <c r="K923" s="54" t="n"/>
    </row>
    <row r="924">
      <c r="A924" s="39" t="inlineStr">
        <is>
          <t>Jimmy Choo</t>
        </is>
      </c>
      <c r="B924" s="47" t="inlineStr">
        <is>
          <t>JIMMY CHOO EDP 100ML FEM</t>
        </is>
      </c>
      <c r="C924" s="48" t="n">
        <v>100</v>
      </c>
      <c r="D924" s="49" t="inlineStr">
        <is>
          <t>Diseñador</t>
        </is>
      </c>
      <c r="E924" s="50" t="n">
        <v>77</v>
      </c>
      <c r="F924" s="51">
        <f>E924*$B$5*(1+$B$6)</f>
        <v>100100</v>
      </c>
      <c r="G924" s="51">
        <f>F924*$B$7</f>
        <v>250250</v>
      </c>
      <c r="H924" s="51">
        <f>G924-F924</f>
        <v>150150</v>
      </c>
      <c r="I924" s="52">
        <f>H924/G924</f>
        <v>0.6</v>
      </c>
      <c r="J924" s="53" t="n"/>
      <c r="K924" s="54" t="n"/>
    </row>
    <row r="925">
      <c r="A925" s="39" t="inlineStr">
        <is>
          <t>Jimmy Choo</t>
        </is>
      </c>
      <c r="B925" s="47" t="inlineStr">
        <is>
          <t>JIMMY CHOO FLASH EDP 100ML</t>
        </is>
      </c>
      <c r="C925" s="48" t="n">
        <v>100</v>
      </c>
      <c r="D925" s="49" t="inlineStr">
        <is>
          <t>Diseñador</t>
        </is>
      </c>
      <c r="E925" s="50" t="n">
        <v>41.5</v>
      </c>
      <c r="F925" s="51">
        <f>E925*$B$5*(1+$B$6)</f>
        <v>53950</v>
      </c>
      <c r="G925" s="51">
        <f>F925*$B$7</f>
        <v>134875</v>
      </c>
      <c r="H925" s="51">
        <f>G925-F925</f>
        <v>80925</v>
      </c>
      <c r="I925" s="52">
        <f>H925/G925</f>
        <v>0.6</v>
      </c>
      <c r="J925" s="53" t="n"/>
      <c r="K925" s="54" t="n"/>
    </row>
    <row r="926">
      <c r="A926" s="39" t="inlineStr">
        <is>
          <t>Jimmy Choo</t>
        </is>
      </c>
      <c r="B926" s="47" t="inlineStr">
        <is>
          <t>JIMMY CHOO I WANT CHOO COLLECTOR EDITION EDP 100ML</t>
        </is>
      </c>
      <c r="C926" s="48" t="n">
        <v>100</v>
      </c>
      <c r="D926" s="49" t="inlineStr">
        <is>
          <t>Diseñador</t>
        </is>
      </c>
      <c r="E926" s="50" t="n">
        <v>88</v>
      </c>
      <c r="F926" s="51">
        <f>E926*$B$5*(1+$B$6)</f>
        <v>114400</v>
      </c>
      <c r="G926" s="51">
        <f>F926*$B$7</f>
        <v>286000</v>
      </c>
      <c r="H926" s="51">
        <f>G926-F926</f>
        <v>171600</v>
      </c>
      <c r="I926" s="52">
        <f>H926/G926</f>
        <v>0.6</v>
      </c>
      <c r="J926" s="53" t="n"/>
      <c r="K926" s="54" t="n"/>
    </row>
    <row r="927">
      <c r="A927" s="39" t="inlineStr">
        <is>
          <t>Jimmy Choo</t>
        </is>
      </c>
      <c r="B927" s="47" t="inlineStr">
        <is>
          <t>JIMMY CHOO I WANT CHOO FOREVER EDP 100ML FEM</t>
        </is>
      </c>
      <c r="C927" s="48" t="n">
        <v>100</v>
      </c>
      <c r="D927" s="49" t="inlineStr">
        <is>
          <t>Diseñador</t>
        </is>
      </c>
      <c r="E927" s="50" t="n">
        <v>79</v>
      </c>
      <c r="F927" s="51">
        <f>E927*$B$5*(1+$B$6)</f>
        <v>102700</v>
      </c>
      <c r="G927" s="51">
        <f>F927*$B$7</f>
        <v>256750</v>
      </c>
      <c r="H927" s="51">
        <f>G927-F927</f>
        <v>154050</v>
      </c>
      <c r="I927" s="52">
        <f>H927/G927</f>
        <v>0.6</v>
      </c>
      <c r="J927" s="53" t="n"/>
      <c r="K927" s="54" t="n"/>
    </row>
    <row r="928">
      <c r="A928" s="39" t="inlineStr">
        <is>
          <t>Jimmy Choo</t>
        </is>
      </c>
      <c r="B928" s="47" t="inlineStr">
        <is>
          <t>JIMMY CHOO I WANT CHOO LE PARFUM 100ML FEM</t>
        </is>
      </c>
      <c r="C928" s="48" t="n">
        <v>100</v>
      </c>
      <c r="D928" s="49" t="inlineStr">
        <is>
          <t>Diseñador</t>
        </is>
      </c>
      <c r="E928" s="50" t="n">
        <v>88</v>
      </c>
      <c r="F928" s="51">
        <f>E928*$B$5*(1+$B$6)</f>
        <v>114400</v>
      </c>
      <c r="G928" s="51">
        <f>F928*$B$7</f>
        <v>286000</v>
      </c>
      <c r="H928" s="51">
        <f>G928-F928</f>
        <v>171600</v>
      </c>
      <c r="I928" s="52">
        <f>H928/G928</f>
        <v>0.6</v>
      </c>
      <c r="J928" s="53" t="n"/>
      <c r="K928" s="54" t="n"/>
    </row>
    <row r="929">
      <c r="A929" s="39" t="inlineStr">
        <is>
          <t>Jimmy Choo</t>
        </is>
      </c>
      <c r="B929" s="47" t="inlineStr">
        <is>
          <t>JIMMY CHOO I WANT CHOO LE PARFUM 60ML + BODY LOTION 100ML</t>
        </is>
      </c>
      <c r="C929" s="48" t="n">
        <v>60</v>
      </c>
      <c r="D929" s="49" t="inlineStr">
        <is>
          <t>Diseñador</t>
        </is>
      </c>
      <c r="E929" s="50" t="n">
        <v>84</v>
      </c>
      <c r="F929" s="51">
        <f>E929*$B$5*(1+$B$6)</f>
        <v>109200</v>
      </c>
      <c r="G929" s="51">
        <f>F929*$B$7</f>
        <v>273000</v>
      </c>
      <c r="H929" s="51">
        <f>G929-F929</f>
        <v>163800</v>
      </c>
      <c r="I929" s="52">
        <f>H929/G929</f>
        <v>0.6</v>
      </c>
      <c r="J929" s="53" t="n"/>
      <c r="K929" s="54" t="n"/>
    </row>
    <row r="930">
      <c r="A930" s="39" t="inlineStr">
        <is>
          <t>Jimmy Choo</t>
        </is>
      </c>
      <c r="B930" s="47" t="inlineStr">
        <is>
          <t>JIMMY CHOO I WANT CHOO WITH LOVE 100ML</t>
        </is>
      </c>
      <c r="C930" s="48" t="n">
        <v>100</v>
      </c>
      <c r="D930" s="49" t="inlineStr">
        <is>
          <t>Diseñador</t>
        </is>
      </c>
      <c r="E930" s="50" t="n">
        <v>86</v>
      </c>
      <c r="F930" s="51">
        <f>E930*$B$5*(1+$B$6)</f>
        <v>111800</v>
      </c>
      <c r="G930" s="51">
        <f>F930*$B$7</f>
        <v>279500</v>
      </c>
      <c r="H930" s="51">
        <f>G930-F930</f>
        <v>167700</v>
      </c>
      <c r="I930" s="52">
        <f>H930/G930</f>
        <v>0.6</v>
      </c>
      <c r="J930" s="53" t="n"/>
      <c r="K930" s="54" t="n"/>
    </row>
    <row r="931">
      <c r="A931" s="39" t="inlineStr">
        <is>
          <t>Jimmy Choo</t>
        </is>
      </c>
      <c r="B931" s="47" t="inlineStr">
        <is>
          <t>JIMMY CHOO MAN EXTREME EDP 100ML MASC</t>
        </is>
      </c>
      <c r="C931" s="48" t="n">
        <v>100</v>
      </c>
      <c r="D931" s="49" t="inlineStr">
        <is>
          <t>Diseñador</t>
        </is>
      </c>
      <c r="E931" s="50" t="n">
        <v>78.90000000000001</v>
      </c>
      <c r="F931" s="51">
        <f>E931*$B$5*(1+$B$6)</f>
        <v>102570</v>
      </c>
      <c r="G931" s="51">
        <f>F931*$B$7</f>
        <v>256425</v>
      </c>
      <c r="H931" s="51">
        <f>G931-F931</f>
        <v>153855</v>
      </c>
      <c r="I931" s="52">
        <f>H931/G931</f>
        <v>0.6</v>
      </c>
      <c r="J931" s="53" t="n"/>
      <c r="K931" s="54" t="n"/>
    </row>
    <row r="932">
      <c r="A932" s="39" t="inlineStr">
        <is>
          <t>Jimmy Choo</t>
        </is>
      </c>
      <c r="B932" s="47" t="inlineStr">
        <is>
          <t>JIMMY CHOO MAN INTENSE EDT 100ML MASC</t>
        </is>
      </c>
      <c r="C932" s="48" t="n">
        <v>100</v>
      </c>
      <c r="D932" s="49" t="inlineStr">
        <is>
          <t>Diseñador</t>
        </is>
      </c>
      <c r="E932" s="50" t="n">
        <v>67</v>
      </c>
      <c r="F932" s="51">
        <f>E932*$B$5*(1+$B$6)</f>
        <v>87100</v>
      </c>
      <c r="G932" s="51">
        <f>F932*$B$7</f>
        <v>217750</v>
      </c>
      <c r="H932" s="51">
        <f>G932-F932</f>
        <v>130650</v>
      </c>
      <c r="I932" s="52">
        <f>H932/G932</f>
        <v>0.6</v>
      </c>
      <c r="J932" s="53" t="n"/>
      <c r="K932" s="54" t="n"/>
    </row>
    <row r="933">
      <c r="A933" s="39" t="inlineStr">
        <is>
          <t>Jimmy Choo</t>
        </is>
      </c>
      <c r="B933" s="47" t="inlineStr">
        <is>
          <t>JIMMY CHOO URBAN HERO EDP 100ML MASC</t>
        </is>
      </c>
      <c r="C933" s="48" t="n">
        <v>100</v>
      </c>
      <c r="D933" s="49" t="inlineStr">
        <is>
          <t>Diseñador</t>
        </is>
      </c>
      <c r="E933" s="50" t="n">
        <v>66</v>
      </c>
      <c r="F933" s="51">
        <f>E933*$B$5*(1+$B$6)</f>
        <v>85800</v>
      </c>
      <c r="G933" s="51">
        <f>F933*$B$7</f>
        <v>214500</v>
      </c>
      <c r="H933" s="51">
        <f>G933-F933</f>
        <v>128700</v>
      </c>
      <c r="I933" s="52">
        <f>H933/G933</f>
        <v>0.6</v>
      </c>
      <c r="J933" s="53" t="n"/>
      <c r="K933" s="54" t="n"/>
    </row>
    <row r="934">
      <c r="A934" s="39" t="inlineStr">
        <is>
          <t>Jimmy Choo</t>
        </is>
      </c>
      <c r="B934" s="47" t="inlineStr">
        <is>
          <t>JIMMY CHOO URBAN HERO GOLD EDITION EDP 100ML MASC</t>
        </is>
      </c>
      <c r="C934" s="48" t="n">
        <v>100</v>
      </c>
      <c r="D934" s="49" t="inlineStr">
        <is>
          <t>Diseñador</t>
        </is>
      </c>
      <c r="E934" s="50" t="n">
        <v>42</v>
      </c>
      <c r="F934" s="51">
        <f>E934*$B$5*(1+$B$6)</f>
        <v>54600</v>
      </c>
      <c r="G934" s="51">
        <f>F934*$B$7</f>
        <v>136500</v>
      </c>
      <c r="H934" s="51">
        <f>G934-F934</f>
        <v>81900</v>
      </c>
      <c r="I934" s="52">
        <f>H934/G934</f>
        <v>0.6</v>
      </c>
      <c r="J934" s="53" t="n"/>
      <c r="K934" s="54" t="n"/>
    </row>
    <row r="935">
      <c r="A935" s="39" t="inlineStr">
        <is>
          <t>Jo Malone</t>
        </is>
      </c>
      <c r="B935" s="47" t="inlineStr">
        <is>
          <t>JO MALONE LIME BASIL &amp; MANDARIN COLOGNE 100ML</t>
        </is>
      </c>
      <c r="C935" s="48" t="n">
        <v>100</v>
      </c>
      <c r="D935" s="49" t="inlineStr">
        <is>
          <t>Nicho</t>
        </is>
      </c>
      <c r="E935" s="50" t="n">
        <v>115</v>
      </c>
      <c r="F935" s="51">
        <f>E935*$B$5*(1+$B$6)</f>
        <v>149500</v>
      </c>
      <c r="G935" s="51">
        <f>F935*$B$7</f>
        <v>373750</v>
      </c>
      <c r="H935" s="51">
        <f>G935-F935</f>
        <v>224250</v>
      </c>
      <c r="I935" s="52">
        <f>H935/G935</f>
        <v>0.6</v>
      </c>
      <c r="J935" s="53" t="n"/>
      <c r="K935" s="54" t="n"/>
    </row>
    <row r="936">
      <c r="A936" s="39" t="inlineStr">
        <is>
          <t>Jo Malone</t>
        </is>
      </c>
      <c r="B936" s="47" t="inlineStr">
        <is>
          <t>JO MALONE ROSE &amp; WHITE MUSK ABSOLU EDC 100ML</t>
        </is>
      </c>
      <c r="C936" s="48" t="n">
        <v>100</v>
      </c>
      <c r="D936" s="49" t="inlineStr">
        <is>
          <t>Nicho</t>
        </is>
      </c>
      <c r="E936" s="50" t="n">
        <v>270</v>
      </c>
      <c r="F936" s="51">
        <f>E936*$B$5*(1+$B$6)</f>
        <v>351000</v>
      </c>
      <c r="G936" s="51">
        <f>F936*$B$7</f>
        <v>877500</v>
      </c>
      <c r="H936" s="51">
        <f>G936-F936</f>
        <v>526500</v>
      </c>
      <c r="I936" s="52">
        <f>H936/G936</f>
        <v>0.6</v>
      </c>
      <c r="J936" s="53" t="n"/>
      <c r="K936" s="54" t="n"/>
    </row>
    <row r="937">
      <c r="A937" s="39" t="inlineStr">
        <is>
          <t>Jo Malone</t>
        </is>
      </c>
      <c r="B937" s="47" t="inlineStr">
        <is>
          <t>JO MALONE WOOD SAGE &amp; SEA SALT EDC 100ML UNISEX</t>
        </is>
      </c>
      <c r="C937" s="48" t="n">
        <v>100</v>
      </c>
      <c r="D937" s="49" t="inlineStr">
        <is>
          <t>Nicho</t>
        </is>
      </c>
      <c r="E937" s="50" t="n">
        <v>157</v>
      </c>
      <c r="F937" s="51">
        <f>E937*$B$5*(1+$B$6)</f>
        <v>204100</v>
      </c>
      <c r="G937" s="51">
        <f>F937*$B$7</f>
        <v>510250</v>
      </c>
      <c r="H937" s="51">
        <f>G937-F937</f>
        <v>306150</v>
      </c>
      <c r="I937" s="52">
        <f>H937/G937</f>
        <v>0.6</v>
      </c>
      <c r="J937" s="53" t="n"/>
      <c r="K937" s="54" t="n"/>
    </row>
    <row r="938">
      <c r="A938" s="39" t="inlineStr">
        <is>
          <t>Jo Milano</t>
        </is>
      </c>
      <c r="B938" s="47" t="inlineStr">
        <is>
          <t>JO MILANO GAME OF SPADES BONUS 100ML</t>
        </is>
      </c>
      <c r="C938" s="48" t="n">
        <v>100</v>
      </c>
      <c r="D938" s="49" t="inlineStr">
        <is>
          <t>Nicho</t>
        </is>
      </c>
      <c r="E938" s="50" t="n">
        <v>63</v>
      </c>
      <c r="F938" s="51">
        <f>E938*$B$5*(1+$B$6)</f>
        <v>81900</v>
      </c>
      <c r="G938" s="51">
        <f>F938*$B$7</f>
        <v>204750</v>
      </c>
      <c r="H938" s="51">
        <f>G938-F938</f>
        <v>122850</v>
      </c>
      <c r="I938" s="52">
        <f>H938/G938</f>
        <v>0.6</v>
      </c>
      <c r="J938" s="53" t="n"/>
      <c r="K938" s="54" t="n"/>
    </row>
    <row r="939">
      <c r="A939" s="39" t="inlineStr">
        <is>
          <t>Jo Milano</t>
        </is>
      </c>
      <c r="B939" s="47" t="inlineStr">
        <is>
          <t>JO MILANO GAME OF SPADES DIAMOND 90ML</t>
        </is>
      </c>
      <c r="C939" s="48" t="n">
        <v>90</v>
      </c>
      <c r="D939" s="49" t="inlineStr">
        <is>
          <t>Nicho</t>
        </is>
      </c>
      <c r="E939" s="50" t="n">
        <v>50</v>
      </c>
      <c r="F939" s="51">
        <f>E939*$B$5*(1+$B$6)</f>
        <v>65000</v>
      </c>
      <c r="G939" s="51">
        <f>F939*$B$7</f>
        <v>162500</v>
      </c>
      <c r="H939" s="51">
        <f>G939-F939</f>
        <v>97500</v>
      </c>
      <c r="I939" s="52">
        <f>H939/G939</f>
        <v>0.6</v>
      </c>
      <c r="J939" s="53" t="n"/>
      <c r="K939" s="54" t="n"/>
    </row>
    <row r="940">
      <c r="A940" s="39" t="inlineStr">
        <is>
          <t>Jo Milano</t>
        </is>
      </c>
      <c r="B940" s="47" t="inlineStr">
        <is>
          <t>JO MILANO GAME OF SPADES DOUBLE BONUS 100ML</t>
        </is>
      </c>
      <c r="C940" s="48" t="n">
        <v>100</v>
      </c>
      <c r="D940" s="49" t="inlineStr">
        <is>
          <t>Nicho</t>
        </is>
      </c>
      <c r="E940" s="50" t="n">
        <v>63</v>
      </c>
      <c r="F940" s="51">
        <f>E940*$B$5*(1+$B$6)</f>
        <v>81900</v>
      </c>
      <c r="G940" s="51">
        <f>F940*$B$7</f>
        <v>204750</v>
      </c>
      <c r="H940" s="51">
        <f>G940-F940</f>
        <v>122850</v>
      </c>
      <c r="I940" s="52">
        <f>H940/G940</f>
        <v>0.6</v>
      </c>
      <c r="J940" s="53" t="n"/>
      <c r="K940" s="54" t="n"/>
    </row>
    <row r="941">
      <c r="A941" s="39" t="inlineStr">
        <is>
          <t>Jo Milano</t>
        </is>
      </c>
      <c r="B941" s="47" t="inlineStr">
        <is>
          <t>JO MILANO GAME OF SPADES FULL HOUSE 100ML</t>
        </is>
      </c>
      <c r="C941" s="48" t="n">
        <v>100</v>
      </c>
      <c r="D941" s="49" t="inlineStr">
        <is>
          <t>Nicho</t>
        </is>
      </c>
      <c r="E941" s="50" t="n">
        <v>63</v>
      </c>
      <c r="F941" s="51">
        <f>E941*$B$5*(1+$B$6)</f>
        <v>81900</v>
      </c>
      <c r="G941" s="51">
        <f>F941*$B$7</f>
        <v>204750</v>
      </c>
      <c r="H941" s="51">
        <f>G941-F941</f>
        <v>122850</v>
      </c>
      <c r="I941" s="52">
        <f>H941/G941</f>
        <v>0.6</v>
      </c>
      <c r="J941" s="53" t="n"/>
      <c r="K941" s="54" t="n"/>
    </row>
    <row r="942">
      <c r="A942" s="39" t="inlineStr">
        <is>
          <t>Jo Milano</t>
        </is>
      </c>
      <c r="B942" s="47" t="inlineStr">
        <is>
          <t>JO MILANO GAME OF SPADES JACKPOT 100ML</t>
        </is>
      </c>
      <c r="C942" s="48" t="n">
        <v>100</v>
      </c>
      <c r="D942" s="49" t="inlineStr">
        <is>
          <t>Nicho</t>
        </is>
      </c>
      <c r="E942" s="50" t="n">
        <v>56</v>
      </c>
      <c r="F942" s="51">
        <f>E942*$B$5*(1+$B$6)</f>
        <v>72800</v>
      </c>
      <c r="G942" s="51">
        <f>F942*$B$7</f>
        <v>182000</v>
      </c>
      <c r="H942" s="51">
        <f>G942-F942</f>
        <v>109200</v>
      </c>
      <c r="I942" s="52">
        <f>H942/G942</f>
        <v>0.6</v>
      </c>
      <c r="J942" s="53" t="n"/>
      <c r="K942" s="54" t="n"/>
    </row>
    <row r="943">
      <c r="A943" s="39" t="inlineStr">
        <is>
          <t>Jo Milano</t>
        </is>
      </c>
      <c r="B943" s="47" t="inlineStr">
        <is>
          <t>JO MILANO GAME OF SPADES MOON 100ML</t>
        </is>
      </c>
      <c r="C943" s="48" t="n">
        <v>100</v>
      </c>
      <c r="D943" s="49" t="inlineStr">
        <is>
          <t>Nicho</t>
        </is>
      </c>
      <c r="E943" s="50" t="n">
        <v>56</v>
      </c>
      <c r="F943" s="51">
        <f>E943*$B$5*(1+$B$6)</f>
        <v>72800</v>
      </c>
      <c r="G943" s="51">
        <f>F943*$B$7</f>
        <v>182000</v>
      </c>
      <c r="H943" s="51">
        <f>G943-F943</f>
        <v>109200</v>
      </c>
      <c r="I943" s="52">
        <f>H943/G943</f>
        <v>0.6</v>
      </c>
      <c r="J943" s="53" t="n"/>
      <c r="K943" s="54" t="n"/>
    </row>
    <row r="944">
      <c r="A944" s="39" t="inlineStr">
        <is>
          <t>Jo Milano</t>
        </is>
      </c>
      <c r="B944" s="47" t="inlineStr">
        <is>
          <t>JO MILANO GAME OF SPADES OPAL 90ML</t>
        </is>
      </c>
      <c r="C944" s="48" t="n">
        <v>90</v>
      </c>
      <c r="D944" s="49" t="inlineStr">
        <is>
          <t>Nicho</t>
        </is>
      </c>
      <c r="E944" s="50" t="n">
        <v>63</v>
      </c>
      <c r="F944" s="51">
        <f>E944*$B$5*(1+$B$6)</f>
        <v>81900</v>
      </c>
      <c r="G944" s="51">
        <f>F944*$B$7</f>
        <v>204750</v>
      </c>
      <c r="H944" s="51">
        <f>G944-F944</f>
        <v>122850</v>
      </c>
      <c r="I944" s="52">
        <f>H944/G944</f>
        <v>0.6</v>
      </c>
      <c r="J944" s="53" t="n"/>
      <c r="K944" s="54" t="n"/>
    </row>
    <row r="945">
      <c r="A945" s="39" t="inlineStr">
        <is>
          <t>Jo Milano</t>
        </is>
      </c>
      <c r="B945" s="47" t="inlineStr">
        <is>
          <t>JO MILANO GAME OF SPADES ROUGE 100ML</t>
        </is>
      </c>
      <c r="C945" s="48" t="n">
        <v>100</v>
      </c>
      <c r="D945" s="49" t="inlineStr">
        <is>
          <t>Nicho</t>
        </is>
      </c>
      <c r="E945" s="50" t="n">
        <v>50</v>
      </c>
      <c r="F945" s="51">
        <f>E945*$B$5*(1+$B$6)</f>
        <v>65000</v>
      </c>
      <c r="G945" s="51">
        <f>F945*$B$7</f>
        <v>162500</v>
      </c>
      <c r="H945" s="51">
        <f>G945-F945</f>
        <v>97500</v>
      </c>
      <c r="I945" s="52">
        <f>H945/G945</f>
        <v>0.6</v>
      </c>
      <c r="J945" s="53" t="n"/>
      <c r="K945" s="54" t="n"/>
    </row>
    <row r="946">
      <c r="A946" s="39" t="inlineStr">
        <is>
          <t>Jo Milano</t>
        </is>
      </c>
      <c r="B946" s="47" t="inlineStr">
        <is>
          <t>JO MILANO GAME OF SPADES ROYALE 100ML</t>
        </is>
      </c>
      <c r="C946" s="48" t="n">
        <v>100</v>
      </c>
      <c r="D946" s="49" t="inlineStr">
        <is>
          <t>Nicho</t>
        </is>
      </c>
      <c r="E946" s="50" t="n">
        <v>51</v>
      </c>
      <c r="F946" s="51">
        <f>E946*$B$5*(1+$B$6)</f>
        <v>66300</v>
      </c>
      <c r="G946" s="51">
        <f>F946*$B$7</f>
        <v>165750</v>
      </c>
      <c r="H946" s="51">
        <f>G946-F946</f>
        <v>99450</v>
      </c>
      <c r="I946" s="52">
        <f>H946/G946</f>
        <v>0.6</v>
      </c>
      <c r="J946" s="53" t="n"/>
      <c r="K946" s="54" t="n"/>
    </row>
    <row r="947">
      <c r="A947" s="39" t="inlineStr">
        <is>
          <t>Jo Milano</t>
        </is>
      </c>
      <c r="B947" s="47" t="inlineStr">
        <is>
          <t>JO MILANO GAME OF SPADES WILD CARD 100ML</t>
        </is>
      </c>
      <c r="C947" s="48" t="n">
        <v>100</v>
      </c>
      <c r="D947" s="49" t="inlineStr">
        <is>
          <t>Nicho</t>
        </is>
      </c>
      <c r="E947" s="50" t="n">
        <v>63</v>
      </c>
      <c r="F947" s="51">
        <f>E947*$B$5*(1+$B$6)</f>
        <v>81900</v>
      </c>
      <c r="G947" s="51">
        <f>F947*$B$7</f>
        <v>204750</v>
      </c>
      <c r="H947" s="51">
        <f>G947-F947</f>
        <v>122850</v>
      </c>
      <c r="I947" s="52">
        <f>H947/G947</f>
        <v>0.6</v>
      </c>
      <c r="J947" s="53" t="n"/>
      <c r="K947" s="54" t="n"/>
    </row>
    <row r="948">
      <c r="A948" s="39" t="inlineStr">
        <is>
          <t>Joop</t>
        </is>
      </c>
      <c r="B948" s="47" t="inlineStr">
        <is>
          <t>Homme EDT</t>
        </is>
      </c>
      <c r="C948" s="48" t="n">
        <v>200</v>
      </c>
      <c r="D948" s="49" t="inlineStr">
        <is>
          <t>Diseñador</t>
        </is>
      </c>
      <c r="E948" s="50" t="n">
        <v>26</v>
      </c>
      <c r="F948" s="51">
        <f>E948*$B$5*(1+$B$6)</f>
        <v>33800</v>
      </c>
      <c r="G948" s="51">
        <f>F948*$B$7</f>
        <v>84500</v>
      </c>
      <c r="H948" s="51">
        <f>G948-F948</f>
        <v>50700</v>
      </c>
      <c r="I948" s="52">
        <f>H948/G948</f>
        <v>0.6</v>
      </c>
      <c r="J948" s="53" t="n"/>
      <c r="K948" s="54" t="inlineStr">
        <is>
          <t>200ml</t>
        </is>
      </c>
    </row>
    <row r="949">
      <c r="A949" s="39" t="inlineStr">
        <is>
          <t>Juicy Couture</t>
        </is>
      </c>
      <c r="B949" s="47" t="inlineStr">
        <is>
          <t>JUICY COUTURE VIVA LA JUICY EDP 100ML</t>
        </is>
      </c>
      <c r="C949" s="48" t="n">
        <v>100</v>
      </c>
      <c r="D949" s="49" t="inlineStr">
        <is>
          <t>Diseñador</t>
        </is>
      </c>
      <c r="E949" s="50" t="n">
        <v>48</v>
      </c>
      <c r="F949" s="51">
        <f>E949*$B$5*(1+$B$6)</f>
        <v>62400</v>
      </c>
      <c r="G949" s="51">
        <f>F949*$B$7</f>
        <v>156000</v>
      </c>
      <c r="H949" s="51">
        <f>G949-F949</f>
        <v>93600</v>
      </c>
      <c r="I949" s="52">
        <f>H949/G949</f>
        <v>0.6</v>
      </c>
      <c r="J949" s="53" t="n"/>
      <c r="K949" s="54" t="n"/>
    </row>
    <row r="950">
      <c r="A950" s="39" t="inlineStr">
        <is>
          <t>Juicy Couture</t>
        </is>
      </c>
      <c r="B950" s="47" t="inlineStr">
        <is>
          <t>JUICY COUTURE VIVA LA JUICY ROSE EDP 100ML</t>
        </is>
      </c>
      <c r="C950" s="48" t="n">
        <v>100</v>
      </c>
      <c r="D950" s="49" t="inlineStr">
        <is>
          <t>Diseñador</t>
        </is>
      </c>
      <c r="E950" s="50" t="n">
        <v>48</v>
      </c>
      <c r="F950" s="51">
        <f>E950*$B$5*(1+$B$6)</f>
        <v>62400</v>
      </c>
      <c r="G950" s="51">
        <f>F950*$B$7</f>
        <v>156000</v>
      </c>
      <c r="H950" s="51">
        <f>G950-F950</f>
        <v>93600</v>
      </c>
      <c r="I950" s="52">
        <f>H950/G950</f>
        <v>0.6</v>
      </c>
      <c r="J950" s="53" t="n"/>
      <c r="K950" s="54" t="n"/>
    </row>
    <row r="951">
      <c r="A951" s="39" t="inlineStr">
        <is>
          <t>Juliette Has a Gun</t>
        </is>
      </c>
      <c r="B951" s="47" t="inlineStr">
        <is>
          <t>JULIETTE HAS A GUN MAD MADAME EDP 100ML</t>
        </is>
      </c>
      <c r="C951" s="48" t="n">
        <v>100</v>
      </c>
      <c r="D951" s="49" t="inlineStr">
        <is>
          <t>Nicho</t>
        </is>
      </c>
      <c r="E951" s="50" t="n">
        <v>75</v>
      </c>
      <c r="F951" s="51">
        <f>E951*$B$5*(1+$B$6)</f>
        <v>97500</v>
      </c>
      <c r="G951" s="51">
        <f>F951*$B$7</f>
        <v>243750</v>
      </c>
      <c r="H951" s="51">
        <f>G951-F951</f>
        <v>146250</v>
      </c>
      <c r="I951" s="52">
        <f>H951/G951</f>
        <v>0.6</v>
      </c>
      <c r="J951" s="53" t="n"/>
      <c r="K951" s="54" t="n"/>
    </row>
    <row r="952">
      <c r="A952" s="39" t="inlineStr">
        <is>
          <t>Kajal</t>
        </is>
      </c>
      <c r="B952" s="47" t="inlineStr">
        <is>
          <t>KAJAL AICAN EDP 100ML UNISEX</t>
        </is>
      </c>
      <c r="C952" s="48" t="n">
        <v>100</v>
      </c>
      <c r="D952" s="49" t="inlineStr">
        <is>
          <t>Nicho</t>
        </is>
      </c>
      <c r="E952" s="50" t="n">
        <v>220</v>
      </c>
      <c r="F952" s="51">
        <f>E952*$B$5*(1+$B$6)</f>
        <v>286000</v>
      </c>
      <c r="G952" s="51">
        <f>F952*$B$7</f>
        <v>715000</v>
      </c>
      <c r="H952" s="51">
        <f>G952-F952</f>
        <v>429000</v>
      </c>
      <c r="I952" s="52">
        <f>H952/G952</f>
        <v>0.6</v>
      </c>
      <c r="J952" s="53" t="n"/>
      <c r="K952" s="54" t="n"/>
    </row>
    <row r="953">
      <c r="A953" s="39" t="inlineStr">
        <is>
          <t>Kajal</t>
        </is>
      </c>
      <c r="B953" s="47" t="inlineStr">
        <is>
          <t>KAJAL ALMAZ EDP 100ML UNISEX</t>
        </is>
      </c>
      <c r="C953" s="48" t="n">
        <v>100</v>
      </c>
      <c r="D953" s="49" t="inlineStr">
        <is>
          <t>Nicho</t>
        </is>
      </c>
      <c r="E953" s="50" t="n">
        <v>220</v>
      </c>
      <c r="F953" s="51">
        <f>E953*$B$5*(1+$B$6)</f>
        <v>286000</v>
      </c>
      <c r="G953" s="51">
        <f>F953*$B$7</f>
        <v>715000</v>
      </c>
      <c r="H953" s="51">
        <f>G953-F953</f>
        <v>429000</v>
      </c>
      <c r="I953" s="52">
        <f>H953/G953</f>
        <v>0.6</v>
      </c>
      <c r="J953" s="53" t="n"/>
      <c r="K953" s="54" t="n"/>
    </row>
    <row r="954">
      <c r="A954" s="39" t="inlineStr">
        <is>
          <t>Kajal</t>
        </is>
      </c>
      <c r="B954" s="47" t="inlineStr">
        <is>
          <t>KAJAL DAHAB BY KAJAL EDP 100ML UNISEX</t>
        </is>
      </c>
      <c r="C954" s="48" t="n">
        <v>100</v>
      </c>
      <c r="D954" s="49" t="inlineStr">
        <is>
          <t>Nicho</t>
        </is>
      </c>
      <c r="E954" s="50" t="n">
        <v>220</v>
      </c>
      <c r="F954" s="51">
        <f>E954*$B$5*(1+$B$6)</f>
        <v>286000</v>
      </c>
      <c r="G954" s="51">
        <f>F954*$B$7</f>
        <v>715000</v>
      </c>
      <c r="H954" s="51">
        <f>G954-F954</f>
        <v>429000</v>
      </c>
      <c r="I954" s="52">
        <f>H954/G954</f>
        <v>0.6</v>
      </c>
      <c r="J954" s="53" t="n"/>
      <c r="K954" s="54" t="n"/>
    </row>
    <row r="955">
      <c r="A955" s="39" t="inlineStr">
        <is>
          <t>Kajal</t>
        </is>
      </c>
      <c r="B955" s="47" t="inlineStr">
        <is>
          <t>KAJAL FARIS EDP 100ML UNISEX</t>
        </is>
      </c>
      <c r="C955" s="48" t="n">
        <v>100</v>
      </c>
      <c r="D955" s="49" t="inlineStr">
        <is>
          <t>Nicho</t>
        </is>
      </c>
      <c r="E955" s="50" t="n">
        <v>220</v>
      </c>
      <c r="F955" s="51">
        <f>E955*$B$5*(1+$B$6)</f>
        <v>286000</v>
      </c>
      <c r="G955" s="51">
        <f>F955*$B$7</f>
        <v>715000</v>
      </c>
      <c r="H955" s="51">
        <f>G955-F955</f>
        <v>429000</v>
      </c>
      <c r="I955" s="52">
        <f>H955/G955</f>
        <v>0.6</v>
      </c>
      <c r="J955" s="53" t="n"/>
      <c r="K955" s="54" t="n"/>
    </row>
    <row r="956">
      <c r="A956" s="39" t="inlineStr">
        <is>
          <t>Kajal</t>
        </is>
      </c>
      <c r="B956" s="47" t="inlineStr">
        <is>
          <t>KAJAL IV EDP 100ML UNISEX</t>
        </is>
      </c>
      <c r="C956" s="48" t="n">
        <v>100</v>
      </c>
      <c r="D956" s="49" t="inlineStr">
        <is>
          <t>Nicho</t>
        </is>
      </c>
      <c r="E956" s="50" t="n">
        <v>220</v>
      </c>
      <c r="F956" s="51">
        <f>E956*$B$5*(1+$B$6)</f>
        <v>286000</v>
      </c>
      <c r="G956" s="51">
        <f>F956*$B$7</f>
        <v>715000</v>
      </c>
      <c r="H956" s="51">
        <f>G956-F956</f>
        <v>429000</v>
      </c>
      <c r="I956" s="52">
        <f>H956/G956</f>
        <v>0.6</v>
      </c>
      <c r="J956" s="53" t="n"/>
      <c r="K956" s="54" t="n"/>
    </row>
    <row r="957">
      <c r="A957" s="39" t="inlineStr">
        <is>
          <t>Kajal</t>
        </is>
      </c>
      <c r="B957" s="47" t="inlineStr">
        <is>
          <t>KAJAL JIHAN EDP 100ML UNISEX</t>
        </is>
      </c>
      <c r="C957" s="48" t="n">
        <v>100</v>
      </c>
      <c r="D957" s="49" t="inlineStr">
        <is>
          <t>Nicho</t>
        </is>
      </c>
      <c r="E957" s="50" t="n">
        <v>220</v>
      </c>
      <c r="F957" s="51">
        <f>E957*$B$5*(1+$B$6)</f>
        <v>286000</v>
      </c>
      <c r="G957" s="51">
        <f>F957*$B$7</f>
        <v>715000</v>
      </c>
      <c r="H957" s="51">
        <f>G957-F957</f>
        <v>429000</v>
      </c>
      <c r="I957" s="52">
        <f>H957/G957</f>
        <v>0.6</v>
      </c>
      <c r="J957" s="53" t="n"/>
      <c r="K957" s="54" t="n"/>
    </row>
    <row r="958">
      <c r="A958" s="39" t="inlineStr">
        <is>
          <t>Kajal</t>
        </is>
      </c>
      <c r="B958" s="47" t="inlineStr">
        <is>
          <t>KAJAL KAJAL III EDP 100ML UNISEX</t>
        </is>
      </c>
      <c r="C958" s="48" t="n">
        <v>100</v>
      </c>
      <c r="D958" s="49" t="inlineStr">
        <is>
          <t>Nicho</t>
        </is>
      </c>
      <c r="E958" s="50" t="n">
        <v>220</v>
      </c>
      <c r="F958" s="51">
        <f>E958*$B$5*(1+$B$6)</f>
        <v>286000</v>
      </c>
      <c r="G958" s="51">
        <f>F958*$B$7</f>
        <v>715000</v>
      </c>
      <c r="H958" s="51">
        <f>G958-F958</f>
        <v>429000</v>
      </c>
      <c r="I958" s="52">
        <f>H958/G958</f>
        <v>0.6</v>
      </c>
      <c r="J958" s="53" t="n"/>
      <c r="K958" s="54" t="n"/>
    </row>
    <row r="959">
      <c r="A959" s="39" t="inlineStr">
        <is>
          <t>Kajal</t>
        </is>
      </c>
      <c r="B959" s="47" t="inlineStr">
        <is>
          <t>KAJAL LAMAR EDP 100ML UNISEX</t>
        </is>
      </c>
      <c r="C959" s="48" t="n">
        <v>100</v>
      </c>
      <c r="D959" s="49" t="inlineStr">
        <is>
          <t>Nicho</t>
        </is>
      </c>
      <c r="E959" s="50" t="n">
        <v>220</v>
      </c>
      <c r="F959" s="51">
        <f>E959*$B$5*(1+$B$6)</f>
        <v>286000</v>
      </c>
      <c r="G959" s="51">
        <f>F959*$B$7</f>
        <v>715000</v>
      </c>
      <c r="H959" s="51">
        <f>G959-F959</f>
        <v>429000</v>
      </c>
      <c r="I959" s="52">
        <f>H959/G959</f>
        <v>0.6</v>
      </c>
      <c r="J959" s="53" t="n"/>
      <c r="K959" s="54" t="n"/>
    </row>
    <row r="960">
      <c r="A960" s="39" t="inlineStr">
        <is>
          <t>Kajal</t>
        </is>
      </c>
      <c r="B960" s="47" t="inlineStr">
        <is>
          <t>KAJAL LAMAR NOIR EXTRAIT DE PARFUM 100ML UNISEX</t>
        </is>
      </c>
      <c r="C960" s="48" t="n">
        <v>100</v>
      </c>
      <c r="D960" s="49" t="inlineStr">
        <is>
          <t>Nicho</t>
        </is>
      </c>
      <c r="E960" s="50" t="n">
        <v>220</v>
      </c>
      <c r="F960" s="51">
        <f>E960*$B$5*(1+$B$6)</f>
        <v>286000</v>
      </c>
      <c r="G960" s="51">
        <f>F960*$B$7</f>
        <v>715000</v>
      </c>
      <c r="H960" s="51">
        <f>G960-F960</f>
        <v>429000</v>
      </c>
      <c r="I960" s="52">
        <f>H960/G960</f>
        <v>0.6</v>
      </c>
      <c r="J960" s="53" t="n"/>
      <c r="K960" s="54" t="n"/>
    </row>
    <row r="961">
      <c r="A961" s="39" t="inlineStr">
        <is>
          <t>Kajal</t>
        </is>
      </c>
      <c r="B961" s="47" t="inlineStr">
        <is>
          <t>TESTER KAJAL ALMAZ EDP 100ML UNISEX</t>
        </is>
      </c>
      <c r="C961" s="48" t="n">
        <v>100</v>
      </c>
      <c r="D961" s="49" t="inlineStr">
        <is>
          <t>Tester</t>
        </is>
      </c>
      <c r="E961" s="50" t="n">
        <v>150</v>
      </c>
      <c r="F961" s="51">
        <f>E961*$B$5*(1+$B$6)</f>
        <v>195000</v>
      </c>
      <c r="G961" s="51">
        <f>F961*$B$7</f>
        <v>487500</v>
      </c>
      <c r="H961" s="51">
        <f>G961-F961</f>
        <v>292500</v>
      </c>
      <c r="I961" s="52">
        <f>H961/G961</f>
        <v>0.6</v>
      </c>
      <c r="J961" s="53" t="n"/>
      <c r="K961" s="54" t="n"/>
    </row>
    <row r="962">
      <c r="A962" s="39" t="inlineStr">
        <is>
          <t>Kajal</t>
        </is>
      </c>
      <c r="B962" s="47" t="inlineStr">
        <is>
          <t>TESTER KAJAL DAHAB BY KAJAL EDP 100ML UNISEX</t>
        </is>
      </c>
      <c r="C962" s="48" t="n">
        <v>100</v>
      </c>
      <c r="D962" s="49" t="inlineStr">
        <is>
          <t>Tester</t>
        </is>
      </c>
      <c r="E962" s="50" t="n">
        <v>150</v>
      </c>
      <c r="F962" s="51">
        <f>E962*$B$5*(1+$B$6)</f>
        <v>195000</v>
      </c>
      <c r="G962" s="51">
        <f>F962*$B$7</f>
        <v>487500</v>
      </c>
      <c r="H962" s="51">
        <f>G962-F962</f>
        <v>292500</v>
      </c>
      <c r="I962" s="52">
        <f>H962/G962</f>
        <v>0.6</v>
      </c>
      <c r="J962" s="53" t="n"/>
      <c r="K962" s="54" t="n"/>
    </row>
    <row r="963">
      <c r="A963" s="39" t="inlineStr">
        <is>
          <t>Kajal</t>
        </is>
      </c>
      <c r="B963" s="47" t="inlineStr">
        <is>
          <t>TESTER KAJAL LAMAR NOIR EDP 100ML UNISEX</t>
        </is>
      </c>
      <c r="C963" s="48" t="n">
        <v>100</v>
      </c>
      <c r="D963" s="49" t="inlineStr">
        <is>
          <t>Tester</t>
        </is>
      </c>
      <c r="E963" s="50" t="n">
        <v>150</v>
      </c>
      <c r="F963" s="51">
        <f>E963*$B$5*(1+$B$6)</f>
        <v>195000</v>
      </c>
      <c r="G963" s="51">
        <f>F963*$B$7</f>
        <v>487500</v>
      </c>
      <c r="H963" s="51">
        <f>G963-F963</f>
        <v>292500</v>
      </c>
      <c r="I963" s="52">
        <f>H963/G963</f>
        <v>0.6</v>
      </c>
      <c r="J963" s="53" t="n"/>
      <c r="K963" s="54" t="n"/>
    </row>
    <row r="964">
      <c r="A964" s="39" t="inlineStr">
        <is>
          <t>Kenzo</t>
        </is>
      </c>
      <c r="B964" s="47" t="inlineStr">
        <is>
          <t>KENZO AMOUR EDP 100ML FEMININO</t>
        </is>
      </c>
      <c r="C964" s="48" t="n">
        <v>100</v>
      </c>
      <c r="D964" s="49" t="inlineStr">
        <is>
          <t>Diseñador</t>
        </is>
      </c>
      <c r="E964" s="50" t="n">
        <v>53</v>
      </c>
      <c r="F964" s="51">
        <f>E964*$B$5*(1+$B$6)</f>
        <v>68900</v>
      </c>
      <c r="G964" s="51">
        <f>F964*$B$7</f>
        <v>172250</v>
      </c>
      <c r="H964" s="51">
        <f>G964-F964</f>
        <v>103350</v>
      </c>
      <c r="I964" s="52">
        <f>H964/G964</f>
        <v>0.6</v>
      </c>
      <c r="J964" s="53" t="n"/>
      <c r="K964" s="54" t="n"/>
    </row>
    <row r="965">
      <c r="A965" s="39" t="inlineStr">
        <is>
          <t>Kenzo</t>
        </is>
      </c>
      <c r="B965" s="47" t="inlineStr">
        <is>
          <t>KENZO FLOWER BY KENZO EDP 100ML</t>
        </is>
      </c>
      <c r="C965" s="48" t="n">
        <v>100</v>
      </c>
      <c r="D965" s="49" t="inlineStr">
        <is>
          <t>Diseñador</t>
        </is>
      </c>
      <c r="E965" s="50" t="n">
        <v>55</v>
      </c>
      <c r="F965" s="51">
        <f>E965*$B$5*(1+$B$6)</f>
        <v>71500</v>
      </c>
      <c r="G965" s="51">
        <f>F965*$B$7</f>
        <v>178750</v>
      </c>
      <c r="H965" s="51">
        <f>G965-F965</f>
        <v>107250</v>
      </c>
      <c r="I965" s="52">
        <f>H965/G965</f>
        <v>0.6</v>
      </c>
      <c r="J965" s="53" t="n"/>
      <c r="K965" s="54" t="n"/>
    </row>
    <row r="966">
      <c r="A966" s="39" t="inlineStr">
        <is>
          <t>Kenzo</t>
        </is>
      </c>
      <c r="B966" s="47" t="inlineStr">
        <is>
          <t>KENZO FLOWER IKEBANA EDP 75ML</t>
        </is>
      </c>
      <c r="C966" s="48" t="n">
        <v>75</v>
      </c>
      <c r="D966" s="49" t="inlineStr">
        <is>
          <t>Diseñador</t>
        </is>
      </c>
      <c r="E966" s="50" t="n">
        <v>70</v>
      </c>
      <c r="F966" s="51">
        <f>E966*$B$5*(1+$B$6)</f>
        <v>91000</v>
      </c>
      <c r="G966" s="51">
        <f>F966*$B$7</f>
        <v>227500</v>
      </c>
      <c r="H966" s="51">
        <f>G966-F966</f>
        <v>136500</v>
      </c>
      <c r="I966" s="52">
        <f>H966/G966</f>
        <v>0.6</v>
      </c>
      <c r="J966" s="53" t="n"/>
      <c r="K966" s="54" t="n"/>
    </row>
    <row r="967">
      <c r="A967" s="39" t="inlineStr">
        <is>
          <t>Kenzo</t>
        </is>
      </c>
      <c r="B967" s="47" t="inlineStr">
        <is>
          <t>KENZO L'EAU POUR HOMME EDT 100ML MASC</t>
        </is>
      </c>
      <c r="C967" s="48" t="n">
        <v>100</v>
      </c>
      <c r="D967" s="49" t="inlineStr">
        <is>
          <t>Diseñador</t>
        </is>
      </c>
      <c r="E967" s="50" t="n">
        <v>50</v>
      </c>
      <c r="F967" s="51">
        <f>E967*$B$5*(1+$B$6)</f>
        <v>65000</v>
      </c>
      <c r="G967" s="51">
        <f>F967*$B$7</f>
        <v>162500</v>
      </c>
      <c r="H967" s="51">
        <f>G967-F967</f>
        <v>97500</v>
      </c>
      <c r="I967" s="52">
        <f>H967/G967</f>
        <v>0.6</v>
      </c>
      <c r="J967" s="53" t="n"/>
      <c r="K967" s="54" t="n"/>
    </row>
    <row r="968">
      <c r="A968" s="39" t="inlineStr">
        <is>
          <t>Kenzo</t>
        </is>
      </c>
      <c r="B968" s="47" t="inlineStr">
        <is>
          <t>KENZO PARFUMD'ETE EDP 75ML</t>
        </is>
      </c>
      <c r="C968" s="48" t="n">
        <v>75</v>
      </c>
      <c r="D968" s="49" t="inlineStr">
        <is>
          <t>Diseñador</t>
        </is>
      </c>
      <c r="E968" s="50" t="n">
        <v>52.05</v>
      </c>
      <c r="F968" s="51">
        <f>E968*$B$5*(1+$B$6)</f>
        <v>67665</v>
      </c>
      <c r="G968" s="51">
        <f>F968*$B$7</f>
        <v>169162.5</v>
      </c>
      <c r="H968" s="51">
        <f>G968-F968</f>
        <v>101497.5</v>
      </c>
      <c r="I968" s="52">
        <f>H968/G968</f>
        <v>0.6</v>
      </c>
      <c r="J968" s="53" t="n"/>
      <c r="K968" s="54" t="n"/>
    </row>
    <row r="969">
      <c r="A969" s="39" t="inlineStr">
        <is>
          <t>Kenzo</t>
        </is>
      </c>
      <c r="B969" s="47" t="inlineStr">
        <is>
          <t>TESTER KENZO FL BY K EDP 50ML FEM</t>
        </is>
      </c>
      <c r="C969" s="48" t="n">
        <v>50</v>
      </c>
      <c r="D969" s="49" t="inlineStr">
        <is>
          <t>Tester</t>
        </is>
      </c>
      <c r="E969" s="50" t="n">
        <v>23</v>
      </c>
      <c r="F969" s="51">
        <f>E969*$B$5*(1+$B$6)</f>
        <v>29900</v>
      </c>
      <c r="G969" s="51">
        <f>F969*$B$7</f>
        <v>74750</v>
      </c>
      <c r="H969" s="51">
        <f>G969-F969</f>
        <v>44850</v>
      </c>
      <c r="I969" s="52">
        <f>H969/G969</f>
        <v>0.6</v>
      </c>
      <c r="J969" s="53" t="n"/>
      <c r="K969" s="54" t="n"/>
    </row>
    <row r="970">
      <c r="A970" s="39" t="inlineStr">
        <is>
          <t>Kilian</t>
        </is>
      </c>
      <c r="B970" s="47" t="inlineStr">
        <is>
          <t>KILIAN INTOXICATED EDP 50ML FEM</t>
        </is>
      </c>
      <c r="C970" s="48" t="n">
        <v>50</v>
      </c>
      <c r="D970" s="49" t="inlineStr">
        <is>
          <t>Nicho</t>
        </is>
      </c>
      <c r="E970" s="50" t="n">
        <v>175</v>
      </c>
      <c r="F970" s="51">
        <f>E970*$B$5*(1+$B$6)</f>
        <v>227500</v>
      </c>
      <c r="G970" s="51">
        <f>F970*$B$7</f>
        <v>568750</v>
      </c>
      <c r="H970" s="51">
        <f>G970-F970</f>
        <v>341250</v>
      </c>
      <c r="I970" s="52">
        <f>H970/G970</f>
        <v>0.6</v>
      </c>
      <c r="J970" s="53" t="n"/>
      <c r="K970" s="54" t="n"/>
    </row>
    <row r="971">
      <c r="A971" s="39" t="inlineStr">
        <is>
          <t>Kilian</t>
        </is>
      </c>
      <c r="B971" s="47" t="inlineStr">
        <is>
          <t>KILIAN ROSES ON ICE EDP 50ML UNISEX</t>
        </is>
      </c>
      <c r="C971" s="48" t="n">
        <v>50</v>
      </c>
      <c r="D971" s="49" t="inlineStr">
        <is>
          <t>Nicho</t>
        </is>
      </c>
      <c r="E971" s="50" t="n">
        <v>145</v>
      </c>
      <c r="F971" s="51">
        <f>E971*$B$5*(1+$B$6)</f>
        <v>188500</v>
      </c>
      <c r="G971" s="51">
        <f>F971*$B$7</f>
        <v>471250</v>
      </c>
      <c r="H971" s="51">
        <f>G971-F971</f>
        <v>282750</v>
      </c>
      <c r="I971" s="52">
        <f>H971/G971</f>
        <v>0.6</v>
      </c>
      <c r="J971" s="53" t="n"/>
      <c r="K971" s="54" t="n"/>
    </row>
    <row r="972">
      <c r="A972" s="39" t="inlineStr">
        <is>
          <t>Kilian</t>
        </is>
      </c>
      <c r="B972" s="47" t="inlineStr">
        <is>
          <t>KILIAN STRAIGHT TO HEAVEN WHITE CRISTAL EDP 50ML</t>
        </is>
      </c>
      <c r="C972" s="48" t="n">
        <v>50</v>
      </c>
      <c r="D972" s="49" t="inlineStr">
        <is>
          <t>Nicho</t>
        </is>
      </c>
      <c r="E972" s="50" t="n">
        <v>170</v>
      </c>
      <c r="F972" s="51">
        <f>E972*$B$5*(1+$B$6)</f>
        <v>221000</v>
      </c>
      <c r="G972" s="51">
        <f>F972*$B$7</f>
        <v>552500</v>
      </c>
      <c r="H972" s="51">
        <f>G972-F972</f>
        <v>331500</v>
      </c>
      <c r="I972" s="52">
        <f>H972/G972</f>
        <v>0.6</v>
      </c>
      <c r="J972" s="53" t="n"/>
      <c r="K972" s="54" t="n"/>
    </row>
    <row r="973">
      <c r="A973" s="39" t="inlineStr">
        <is>
          <t>L'Affair</t>
        </is>
      </c>
      <c r="B973" s="47" t="inlineStr">
        <is>
          <t>L'AFFAIR ATOOR MASHMALLOW EDP 100ML</t>
        </is>
      </c>
      <c r="C973" s="48" t="n">
        <v>100</v>
      </c>
      <c r="D973" s="49" t="inlineStr">
        <is>
          <t>Árabe</t>
        </is>
      </c>
      <c r="E973" s="50" t="n">
        <v>14</v>
      </c>
      <c r="F973" s="51">
        <f>E973*$B$5*(1+$B$6)</f>
        <v>18200</v>
      </c>
      <c r="G973" s="51">
        <f>F973*$B$7</f>
        <v>45500</v>
      </c>
      <c r="H973" s="51">
        <f>G973-F973</f>
        <v>27300</v>
      </c>
      <c r="I973" s="52">
        <f>H973/G973</f>
        <v>0.6</v>
      </c>
      <c r="J973" s="53" t="n"/>
      <c r="K973" s="54" t="inlineStr">
        <is>
          <t>clon/genérico</t>
        </is>
      </c>
    </row>
    <row r="974">
      <c r="A974" s="39" t="inlineStr">
        <is>
          <t>L'Affair</t>
        </is>
      </c>
      <c r="B974" s="47" t="inlineStr">
        <is>
          <t>L'AFFAIR FAKHAM EDP 100ML</t>
        </is>
      </c>
      <c r="C974" s="48" t="n">
        <v>100</v>
      </c>
      <c r="D974" s="49" t="inlineStr">
        <is>
          <t>Árabe</t>
        </is>
      </c>
      <c r="E974" s="50" t="n">
        <v>12</v>
      </c>
      <c r="F974" s="51">
        <f>E974*$B$5*(1+$B$6)</f>
        <v>15600</v>
      </c>
      <c r="G974" s="51">
        <f>F974*$B$7</f>
        <v>39000</v>
      </c>
      <c r="H974" s="51">
        <f>G974-F974</f>
        <v>23400</v>
      </c>
      <c r="I974" s="52">
        <f>H974/G974</f>
        <v>0.6</v>
      </c>
      <c r="J974" s="53" t="n"/>
      <c r="K974" s="54" t="inlineStr">
        <is>
          <t>clon/genérico</t>
        </is>
      </c>
    </row>
    <row r="975">
      <c r="A975" s="39" t="inlineStr">
        <is>
          <t>L'Affair</t>
        </is>
      </c>
      <c r="B975" s="47" t="inlineStr">
        <is>
          <t>L'AFFAIR FARIS EDP 100ML</t>
        </is>
      </c>
      <c r="C975" s="48" t="n">
        <v>100</v>
      </c>
      <c r="D975" s="49" t="inlineStr">
        <is>
          <t>Árabe</t>
        </is>
      </c>
      <c r="E975" s="50" t="n">
        <v>12</v>
      </c>
      <c r="F975" s="51">
        <f>E975*$B$5*(1+$B$6)</f>
        <v>15600</v>
      </c>
      <c r="G975" s="51">
        <f>F975*$B$7</f>
        <v>39000</v>
      </c>
      <c r="H975" s="51">
        <f>G975-F975</f>
        <v>23400</v>
      </c>
      <c r="I975" s="52">
        <f>H975/G975</f>
        <v>0.6</v>
      </c>
      <c r="J975" s="53" t="n"/>
      <c r="K975" s="54" t="inlineStr">
        <is>
          <t>clon/genérico</t>
        </is>
      </c>
    </row>
    <row r="976">
      <c r="A976" s="39" t="inlineStr">
        <is>
          <t>L'Affair</t>
        </is>
      </c>
      <c r="B976" s="47" t="inlineStr">
        <is>
          <t>L'AFFAIR FAROUCHE E. EDP 100ML MASC</t>
        </is>
      </c>
      <c r="C976" s="48" t="n">
        <v>100</v>
      </c>
      <c r="D976" s="49" t="inlineStr">
        <is>
          <t>Árabe</t>
        </is>
      </c>
      <c r="E976" s="50" t="n">
        <v>12</v>
      </c>
      <c r="F976" s="51">
        <f>E976*$B$5*(1+$B$6)</f>
        <v>15600</v>
      </c>
      <c r="G976" s="51">
        <f>F976*$B$7</f>
        <v>39000</v>
      </c>
      <c r="H976" s="51">
        <f>G976-F976</f>
        <v>23400</v>
      </c>
      <c r="I976" s="52">
        <f>H976/G976</f>
        <v>0.6</v>
      </c>
      <c r="J976" s="53" t="n"/>
      <c r="K976" s="54" t="inlineStr">
        <is>
          <t>clon/genérico</t>
        </is>
      </c>
    </row>
    <row r="977">
      <c r="A977" s="39" t="inlineStr">
        <is>
          <t>L'Affair</t>
        </is>
      </c>
      <c r="B977" s="47" t="inlineStr">
        <is>
          <t>L'AFFAIR FREEWILL EDP 100ML</t>
        </is>
      </c>
      <c r="C977" s="48" t="n">
        <v>100</v>
      </c>
      <c r="D977" s="49" t="inlineStr">
        <is>
          <t>Árabe</t>
        </is>
      </c>
      <c r="E977" s="50" t="n">
        <v>12</v>
      </c>
      <c r="F977" s="51">
        <f>E977*$B$5*(1+$B$6)</f>
        <v>15600</v>
      </c>
      <c r="G977" s="51">
        <f>F977*$B$7</f>
        <v>39000</v>
      </c>
      <c r="H977" s="51">
        <f>G977-F977</f>
        <v>23400</v>
      </c>
      <c r="I977" s="52">
        <f>H977/G977</f>
        <v>0.6</v>
      </c>
      <c r="J977" s="53" t="n"/>
      <c r="K977" s="54" t="inlineStr">
        <is>
          <t>clon/genérico</t>
        </is>
      </c>
    </row>
    <row r="978">
      <c r="A978" s="39" t="inlineStr">
        <is>
          <t>L'Affair</t>
        </is>
      </c>
      <c r="B978" s="47" t="inlineStr">
        <is>
          <t>L'AFFAIR HARMONI ROSSA EDP 100ML</t>
        </is>
      </c>
      <c r="C978" s="48" t="n">
        <v>100</v>
      </c>
      <c r="D978" s="49" t="inlineStr">
        <is>
          <t>Árabe</t>
        </is>
      </c>
      <c r="E978" s="50" t="n">
        <v>12</v>
      </c>
      <c r="F978" s="51">
        <f>E978*$B$5*(1+$B$6)</f>
        <v>15600</v>
      </c>
      <c r="G978" s="51">
        <f>F978*$B$7</f>
        <v>39000</v>
      </c>
      <c r="H978" s="51">
        <f>G978-F978</f>
        <v>23400</v>
      </c>
      <c r="I978" s="52">
        <f>H978/G978</f>
        <v>0.6</v>
      </c>
      <c r="J978" s="53" t="n"/>
      <c r="K978" s="54" t="inlineStr">
        <is>
          <t>clon/genérico</t>
        </is>
      </c>
    </row>
    <row r="979">
      <c r="A979" s="39" t="inlineStr">
        <is>
          <t>L'Affair</t>
        </is>
      </c>
      <c r="B979" s="47" t="inlineStr">
        <is>
          <t>L'AFFAIR LEEN EDP 100ML</t>
        </is>
      </c>
      <c r="C979" s="48" t="n">
        <v>100</v>
      </c>
      <c r="D979" s="49" t="inlineStr">
        <is>
          <t>Árabe</t>
        </is>
      </c>
      <c r="E979" s="50" t="n">
        <v>14.5</v>
      </c>
      <c r="F979" s="51">
        <f>E979*$B$5*(1+$B$6)</f>
        <v>18850</v>
      </c>
      <c r="G979" s="51">
        <f>F979*$B$7</f>
        <v>47125</v>
      </c>
      <c r="H979" s="51">
        <f>G979-F979</f>
        <v>28275</v>
      </c>
      <c r="I979" s="52">
        <f>H979/G979</f>
        <v>0.6</v>
      </c>
      <c r="J979" s="53" t="n"/>
      <c r="K979" s="54" t="inlineStr">
        <is>
          <t>clon/genérico</t>
        </is>
      </c>
    </row>
    <row r="980">
      <c r="A980" s="39" t="inlineStr">
        <is>
          <t>L'Affair</t>
        </is>
      </c>
      <c r="B980" s="47" t="inlineStr">
        <is>
          <t>L'AFFAIR LUREE GLOW EDP 100ML</t>
        </is>
      </c>
      <c r="C980" s="48" t="n">
        <v>100</v>
      </c>
      <c r="D980" s="49" t="inlineStr">
        <is>
          <t>Árabe</t>
        </is>
      </c>
      <c r="E980" s="50" t="n">
        <v>14</v>
      </c>
      <c r="F980" s="51">
        <f>E980*$B$5*(1+$B$6)</f>
        <v>18200</v>
      </c>
      <c r="G980" s="51">
        <f>F980*$B$7</f>
        <v>45500</v>
      </c>
      <c r="H980" s="51">
        <f>G980-F980</f>
        <v>27300</v>
      </c>
      <c r="I980" s="52">
        <f>H980/G980</f>
        <v>0.6</v>
      </c>
      <c r="J980" s="53" t="n"/>
      <c r="K980" s="54" t="inlineStr">
        <is>
          <t>clon/genérico</t>
        </is>
      </c>
    </row>
    <row r="981">
      <c r="A981" s="39" t="inlineStr">
        <is>
          <t>L'Affair</t>
        </is>
      </c>
      <c r="B981" s="47" t="inlineStr">
        <is>
          <t>L'AFFAIR MAISON ROUGE EDP 100ML</t>
        </is>
      </c>
      <c r="C981" s="48" t="n">
        <v>100</v>
      </c>
      <c r="D981" s="49" t="inlineStr">
        <is>
          <t>Árabe</t>
        </is>
      </c>
      <c r="E981" s="50" t="n">
        <v>14</v>
      </c>
      <c r="F981" s="51">
        <f>E981*$B$5*(1+$B$6)</f>
        <v>18200</v>
      </c>
      <c r="G981" s="51">
        <f>F981*$B$7</f>
        <v>45500</v>
      </c>
      <c r="H981" s="51">
        <f>G981-F981</f>
        <v>27300</v>
      </c>
      <c r="I981" s="52">
        <f>H981/G981</f>
        <v>0.6</v>
      </c>
      <c r="J981" s="53" t="n"/>
      <c r="K981" s="54" t="inlineStr">
        <is>
          <t>clon/genérico</t>
        </is>
      </c>
    </row>
    <row r="982">
      <c r="A982" s="39" t="inlineStr">
        <is>
          <t>L'Affair</t>
        </is>
      </c>
      <c r="B982" s="47" t="inlineStr">
        <is>
          <t>L'AFFAIR MARE DI A.AZURE EDP 100ML</t>
        </is>
      </c>
      <c r="C982" s="48" t="n">
        <v>100</v>
      </c>
      <c r="D982" s="49" t="inlineStr">
        <is>
          <t>Árabe</t>
        </is>
      </c>
      <c r="E982" s="50" t="n">
        <v>14</v>
      </c>
      <c r="F982" s="51">
        <f>E982*$B$5*(1+$B$6)</f>
        <v>18200</v>
      </c>
      <c r="G982" s="51">
        <f>F982*$B$7</f>
        <v>45500</v>
      </c>
      <c r="H982" s="51">
        <f>G982-F982</f>
        <v>27300</v>
      </c>
      <c r="I982" s="52">
        <f>H982/G982</f>
        <v>0.6</v>
      </c>
      <c r="J982" s="53" t="n"/>
      <c r="K982" s="54" t="inlineStr">
        <is>
          <t>clon/genérico</t>
        </is>
      </c>
    </row>
    <row r="983">
      <c r="A983" s="39" t="inlineStr">
        <is>
          <t>L'Affair</t>
        </is>
      </c>
      <c r="B983" s="47" t="inlineStr">
        <is>
          <t>L'AFFAIR MARE DI A.OUD EDP 100ML</t>
        </is>
      </c>
      <c r="C983" s="48" t="n">
        <v>100</v>
      </c>
      <c r="D983" s="49" t="inlineStr">
        <is>
          <t>Árabe</t>
        </is>
      </c>
      <c r="E983" s="50" t="n">
        <v>14</v>
      </c>
      <c r="F983" s="51">
        <f>E983*$B$5*(1+$B$6)</f>
        <v>18200</v>
      </c>
      <c r="G983" s="51">
        <f>F983*$B$7</f>
        <v>45500</v>
      </c>
      <c r="H983" s="51">
        <f>G983-F983</f>
        <v>27300</v>
      </c>
      <c r="I983" s="52">
        <f>H983/G983</f>
        <v>0.6</v>
      </c>
      <c r="J983" s="53" t="n"/>
      <c r="K983" s="54" t="inlineStr">
        <is>
          <t>clon/genérico</t>
        </is>
      </c>
    </row>
    <row r="984">
      <c r="A984" s="39" t="inlineStr">
        <is>
          <t>L'Affair</t>
        </is>
      </c>
      <c r="B984" s="47" t="inlineStr">
        <is>
          <t>L'AFFAIR ME EDP 100ML MASC</t>
        </is>
      </c>
      <c r="C984" s="48" t="n">
        <v>100</v>
      </c>
      <c r="D984" s="49" t="inlineStr">
        <is>
          <t>Árabe</t>
        </is>
      </c>
      <c r="E984" s="50" t="n">
        <v>14</v>
      </c>
      <c r="F984" s="51">
        <f>E984*$B$5*(1+$B$6)</f>
        <v>18200</v>
      </c>
      <c r="G984" s="51">
        <f>F984*$B$7</f>
        <v>45500</v>
      </c>
      <c r="H984" s="51">
        <f>G984-F984</f>
        <v>27300</v>
      </c>
      <c r="I984" s="52">
        <f>H984/G984</f>
        <v>0.6</v>
      </c>
      <c r="J984" s="53" t="n"/>
      <c r="K984" s="54" t="inlineStr">
        <is>
          <t>clon/genérico</t>
        </is>
      </c>
    </row>
    <row r="985">
      <c r="A985" s="39" t="inlineStr">
        <is>
          <t>L'Affair</t>
        </is>
      </c>
      <c r="B985" s="47" t="inlineStr">
        <is>
          <t>L'AFFAIR P.DE MUSE LEGION EDP 100ML</t>
        </is>
      </c>
      <c r="C985" s="48" t="n">
        <v>100</v>
      </c>
      <c r="D985" s="49" t="inlineStr">
        <is>
          <t>Árabe</t>
        </is>
      </c>
      <c r="E985" s="50" t="n">
        <v>12</v>
      </c>
      <c r="F985" s="51">
        <f>E985*$B$5*(1+$B$6)</f>
        <v>15600</v>
      </c>
      <c r="G985" s="51">
        <f>F985*$B$7</f>
        <v>39000</v>
      </c>
      <c r="H985" s="51">
        <f>G985-F985</f>
        <v>23400</v>
      </c>
      <c r="I985" s="52">
        <f>H985/G985</f>
        <v>0.6</v>
      </c>
      <c r="J985" s="53" t="n"/>
      <c r="K985" s="54" t="inlineStr">
        <is>
          <t>clon/genérico</t>
        </is>
      </c>
    </row>
    <row r="986">
      <c r="A986" s="39" t="inlineStr">
        <is>
          <t>L'Affair</t>
        </is>
      </c>
      <c r="B986" s="47" t="inlineStr">
        <is>
          <t>L'AFFAIR P.DE MUSE PRESTIGE EDP 100ML</t>
        </is>
      </c>
      <c r="C986" s="48" t="n">
        <v>100</v>
      </c>
      <c r="D986" s="49" t="inlineStr">
        <is>
          <t>Árabe</t>
        </is>
      </c>
      <c r="E986" s="50" t="n">
        <v>12</v>
      </c>
      <c r="F986" s="51">
        <f>E986*$B$5*(1+$B$6)</f>
        <v>15600</v>
      </c>
      <c r="G986" s="51">
        <f>F986*$B$7</f>
        <v>39000</v>
      </c>
      <c r="H986" s="51">
        <f>G986-F986</f>
        <v>23400</v>
      </c>
      <c r="I986" s="52">
        <f>H986/G986</f>
        <v>0.6</v>
      </c>
      <c r="J986" s="53" t="n"/>
      <c r="K986" s="54" t="inlineStr">
        <is>
          <t>clon/genérico</t>
        </is>
      </c>
    </row>
    <row r="987">
      <c r="A987" s="39" t="inlineStr">
        <is>
          <t>L'Affair</t>
        </is>
      </c>
      <c r="B987" s="47" t="inlineStr">
        <is>
          <t>L'AFFAIR SUMMER SHOCKWAVE EDP 100ML</t>
        </is>
      </c>
      <c r="C987" s="48" t="n">
        <v>100</v>
      </c>
      <c r="D987" s="49" t="inlineStr">
        <is>
          <t>Árabe</t>
        </is>
      </c>
      <c r="E987" s="50" t="n">
        <v>25</v>
      </c>
      <c r="F987" s="51">
        <f>E987*$B$5*(1+$B$6)</f>
        <v>32500</v>
      </c>
      <c r="G987" s="51">
        <f>F987*$B$7</f>
        <v>81250</v>
      </c>
      <c r="H987" s="51">
        <f>G987-F987</f>
        <v>48750</v>
      </c>
      <c r="I987" s="52">
        <f>H987/G987</f>
        <v>0.6</v>
      </c>
      <c r="J987" s="53" t="n"/>
      <c r="K987" s="54" t="inlineStr">
        <is>
          <t>clon/genérico</t>
        </is>
      </c>
    </row>
    <row r="988">
      <c r="A988" s="39" t="inlineStr">
        <is>
          <t>L'Affair</t>
        </is>
      </c>
      <c r="B988" s="47" t="inlineStr">
        <is>
          <t>L'AFFAIR SWAG! EDP 100ML FEM</t>
        </is>
      </c>
      <c r="C988" s="48" t="n">
        <v>100</v>
      </c>
      <c r="D988" s="49" t="inlineStr">
        <is>
          <t>Árabe</t>
        </is>
      </c>
      <c r="E988" s="50" t="n">
        <v>12</v>
      </c>
      <c r="F988" s="51">
        <f>E988*$B$5*(1+$B$6)</f>
        <v>15600</v>
      </c>
      <c r="G988" s="51">
        <f>F988*$B$7</f>
        <v>39000</v>
      </c>
      <c r="H988" s="51">
        <f>G988-F988</f>
        <v>23400</v>
      </c>
      <c r="I988" s="52">
        <f>H988/G988</f>
        <v>0.6</v>
      </c>
      <c r="J988" s="53" t="n"/>
      <c r="K988" s="54" t="inlineStr">
        <is>
          <t>clon/genérico</t>
        </is>
      </c>
    </row>
    <row r="989">
      <c r="A989" s="39" t="inlineStr">
        <is>
          <t>L'Affair</t>
        </is>
      </c>
      <c r="B989" s="47" t="inlineStr">
        <is>
          <t>L'AFFAIR SYMPHONY NOTTE EDP 100ML</t>
        </is>
      </c>
      <c r="C989" s="48" t="n">
        <v>100</v>
      </c>
      <c r="D989" s="49" t="inlineStr">
        <is>
          <t>Árabe</t>
        </is>
      </c>
      <c r="E989" s="50" t="n">
        <v>12</v>
      </c>
      <c r="F989" s="51">
        <f>E989*$B$5*(1+$B$6)</f>
        <v>15600</v>
      </c>
      <c r="G989" s="51">
        <f>F989*$B$7</f>
        <v>39000</v>
      </c>
      <c r="H989" s="51">
        <f>G989-F989</f>
        <v>23400</v>
      </c>
      <c r="I989" s="52">
        <f>H989/G989</f>
        <v>0.6</v>
      </c>
      <c r="J989" s="53" t="n"/>
      <c r="K989" s="54" t="inlineStr">
        <is>
          <t>clon/genérico</t>
        </is>
      </c>
    </row>
    <row r="990">
      <c r="A990" s="39" t="inlineStr">
        <is>
          <t>Lacoste</t>
        </is>
      </c>
      <c r="B990" s="47" t="inlineStr">
        <is>
          <t>LACOSTE L.12.12 NOIR INTENSE EDT MASCULINO 100ML</t>
        </is>
      </c>
      <c r="C990" s="48" t="n">
        <v>100</v>
      </c>
      <c r="D990" s="49" t="inlineStr">
        <is>
          <t>Diseñador</t>
        </is>
      </c>
      <c r="E990" s="50" t="n">
        <v>39</v>
      </c>
      <c r="F990" s="51">
        <f>E990*$B$5*(1+$B$6)</f>
        <v>50700</v>
      </c>
      <c r="G990" s="51">
        <f>F990*$B$7</f>
        <v>126750</v>
      </c>
      <c r="H990" s="51">
        <f>G990-F990</f>
        <v>76050</v>
      </c>
      <c r="I990" s="52">
        <f>H990/G990</f>
        <v>0.6</v>
      </c>
      <c r="J990" s="53" t="n"/>
      <c r="K990" s="54" t="n"/>
    </row>
    <row r="991">
      <c r="A991" s="39" t="inlineStr">
        <is>
          <t>Lacoste</t>
        </is>
      </c>
      <c r="B991" s="47" t="inlineStr">
        <is>
          <t>TESTER LACOSTE BOOSTER EDT 125ML</t>
        </is>
      </c>
      <c r="C991" s="48" t="n">
        <v>125</v>
      </c>
      <c r="D991" s="49" t="inlineStr">
        <is>
          <t>Tester</t>
        </is>
      </c>
      <c r="E991" s="50" t="n">
        <v>27</v>
      </c>
      <c r="F991" s="51">
        <f>E991*$B$5*(1+$B$6)</f>
        <v>35100</v>
      </c>
      <c r="G991" s="51">
        <f>F991*$B$7</f>
        <v>87750</v>
      </c>
      <c r="H991" s="51">
        <f>G991-F991</f>
        <v>52650</v>
      </c>
      <c r="I991" s="52">
        <f>H991/G991</f>
        <v>0.6</v>
      </c>
      <c r="J991" s="53" t="n"/>
      <c r="K991" s="54" t="n"/>
    </row>
    <row r="992">
      <c r="A992" s="39" t="inlineStr">
        <is>
          <t>Lancome</t>
        </is>
      </c>
      <c r="B992" s="47" t="inlineStr">
        <is>
          <t>LANCOME LA VIE EST BELLE EDP REFILLABLE FEMININO 100ML</t>
        </is>
      </c>
      <c r="C992" s="48" t="n">
        <v>100</v>
      </c>
      <c r="D992" s="49" t="inlineStr">
        <is>
          <t>Diseñador</t>
        </is>
      </c>
      <c r="E992" s="50" t="n">
        <v>72</v>
      </c>
      <c r="F992" s="51">
        <f>E992*$B$5*(1+$B$6)</f>
        <v>93600</v>
      </c>
      <c r="G992" s="51">
        <f>F992*$B$7</f>
        <v>234000</v>
      </c>
      <c r="H992" s="51">
        <f>G992-F992</f>
        <v>140400</v>
      </c>
      <c r="I992" s="52">
        <f>H992/G992</f>
        <v>0.6</v>
      </c>
      <c r="J992" s="53" t="n"/>
      <c r="K992" s="54" t="n"/>
    </row>
    <row r="993">
      <c r="A993" s="39" t="inlineStr">
        <is>
          <t>Lancome</t>
        </is>
      </c>
      <c r="B993" s="47" t="inlineStr">
        <is>
          <t>LANCOME LA VIE EST BELLE INTENSEMENT EDP 50ML FEM</t>
        </is>
      </c>
      <c r="C993" s="48" t="n">
        <v>50</v>
      </c>
      <c r="D993" s="49" t="inlineStr">
        <is>
          <t>Diseñador</t>
        </is>
      </c>
      <c r="E993" s="50" t="n">
        <v>77</v>
      </c>
      <c r="F993" s="51">
        <f>E993*$B$5*(1+$B$6)</f>
        <v>100100</v>
      </c>
      <c r="G993" s="51">
        <f>F993*$B$7</f>
        <v>250250</v>
      </c>
      <c r="H993" s="51">
        <f>G993-F993</f>
        <v>150150</v>
      </c>
      <c r="I993" s="52">
        <f>H993/G993</f>
        <v>0.6</v>
      </c>
      <c r="J993" s="53" t="n"/>
      <c r="K993" s="54" t="n"/>
    </row>
    <row r="994">
      <c r="A994" s="39" t="inlineStr">
        <is>
          <t>Lancome</t>
        </is>
      </c>
      <c r="B994" s="47" t="inlineStr">
        <is>
          <t>LANCOME LA VIE EST BELLE L'ELIXIR EDP 100ML</t>
        </is>
      </c>
      <c r="C994" s="48" t="n">
        <v>100</v>
      </c>
      <c r="D994" s="49" t="inlineStr">
        <is>
          <t>Diseñador</t>
        </is>
      </c>
      <c r="E994" s="50" t="n">
        <v>106</v>
      </c>
      <c r="F994" s="51">
        <f>E994*$B$5*(1+$B$6)</f>
        <v>137800</v>
      </c>
      <c r="G994" s="51">
        <f>F994*$B$7</f>
        <v>344500</v>
      </c>
      <c r="H994" s="51">
        <f>G994-F994</f>
        <v>206700</v>
      </c>
      <c r="I994" s="52">
        <f>H994/G994</f>
        <v>0.6</v>
      </c>
      <c r="J994" s="53" t="n"/>
      <c r="K994" s="54" t="n"/>
    </row>
    <row r="995">
      <c r="A995" s="39" t="inlineStr">
        <is>
          <t>Lancome</t>
        </is>
      </c>
      <c r="B995" s="47" t="inlineStr">
        <is>
          <t>LANCOME LA VIE ROSE EXTRAORDINAIRE EDP FLORALE 100ML</t>
        </is>
      </c>
      <c r="C995" s="48" t="n">
        <v>100</v>
      </c>
      <c r="D995" s="49" t="inlineStr">
        <is>
          <t>Diseñador</t>
        </is>
      </c>
      <c r="E995" s="50" t="n">
        <v>90</v>
      </c>
      <c r="F995" s="51">
        <f>E995*$B$5*(1+$B$6)</f>
        <v>117000</v>
      </c>
      <c r="G995" s="51">
        <f>F995*$B$7</f>
        <v>292500</v>
      </c>
      <c r="H995" s="51">
        <f>G995-F995</f>
        <v>175500</v>
      </c>
      <c r="I995" s="52">
        <f>H995/G995</f>
        <v>0.6</v>
      </c>
      <c r="J995" s="53" t="n"/>
      <c r="K995" s="54" t="n"/>
    </row>
    <row r="996">
      <c r="A996" s="39" t="inlineStr">
        <is>
          <t>Lancome</t>
        </is>
      </c>
      <c r="B996" s="47" t="inlineStr">
        <is>
          <t>LANCOME LA VIE ROSE EXTRAORDINAIRE L'EDP FLORALE 50ML</t>
        </is>
      </c>
      <c r="C996" s="48" t="n">
        <v>50</v>
      </c>
      <c r="D996" s="49" t="inlineStr">
        <is>
          <t>Diseñador</t>
        </is>
      </c>
      <c r="E996" s="50" t="n">
        <v>78</v>
      </c>
      <c r="F996" s="51">
        <f>E996*$B$5*(1+$B$6)</f>
        <v>101400</v>
      </c>
      <c r="G996" s="51">
        <f>F996*$B$7</f>
        <v>253500</v>
      </c>
      <c r="H996" s="51">
        <f>G996-F996</f>
        <v>152100</v>
      </c>
      <c r="I996" s="52">
        <f>H996/G996</f>
        <v>0.6</v>
      </c>
      <c r="J996" s="53" t="n"/>
      <c r="K996" s="54" t="n"/>
    </row>
    <row r="997">
      <c r="A997" s="39" t="inlineStr">
        <is>
          <t>Lancome</t>
        </is>
      </c>
      <c r="B997" s="47" t="inlineStr">
        <is>
          <t>LANCOME MIRACLE EDP 100ML FEM</t>
        </is>
      </c>
      <c r="C997" s="48" t="n">
        <v>100</v>
      </c>
      <c r="D997" s="49" t="inlineStr">
        <is>
          <t>Diseñador</t>
        </is>
      </c>
      <c r="E997" s="50" t="n">
        <v>80</v>
      </c>
      <c r="F997" s="51">
        <f>E997*$B$5*(1+$B$6)</f>
        <v>104000</v>
      </c>
      <c r="G997" s="51">
        <f>F997*$B$7</f>
        <v>260000</v>
      </c>
      <c r="H997" s="51">
        <f>G997-F997</f>
        <v>156000</v>
      </c>
      <c r="I997" s="52">
        <f>H997/G997</f>
        <v>0.6</v>
      </c>
      <c r="J997" s="53" t="n"/>
      <c r="K997" s="54" t="n"/>
    </row>
    <row r="998">
      <c r="A998" s="39" t="inlineStr">
        <is>
          <t>Lancome</t>
        </is>
      </c>
      <c r="B998" s="47" t="inlineStr">
        <is>
          <t>LANCOME TRESOR L'EAU DE PARFUM 100ML FEM</t>
        </is>
      </c>
      <c r="C998" s="48" t="n">
        <v>100</v>
      </c>
      <c r="D998" s="49" t="inlineStr">
        <is>
          <t>Diseñador</t>
        </is>
      </c>
      <c r="E998" s="50" t="n">
        <v>82</v>
      </c>
      <c r="F998" s="51">
        <f>E998*$B$5*(1+$B$6)</f>
        <v>106600</v>
      </c>
      <c r="G998" s="51">
        <f>F998*$B$7</f>
        <v>266500</v>
      </c>
      <c r="H998" s="51">
        <f>G998-F998</f>
        <v>159900</v>
      </c>
      <c r="I998" s="52">
        <f>H998/G998</f>
        <v>0.6</v>
      </c>
      <c r="J998" s="53" t="n"/>
      <c r="K998" s="54" t="n"/>
    </row>
    <row r="999">
      <c r="A999" s="39" t="inlineStr">
        <is>
          <t>Lancome</t>
        </is>
      </c>
      <c r="B999" s="47" t="inlineStr">
        <is>
          <t>LANCOME TRESOR MIDNIGHT ROSE L'EAU DE PARFUM 50ML</t>
        </is>
      </c>
      <c r="C999" s="48" t="n">
        <v>50</v>
      </c>
      <c r="D999" s="49" t="inlineStr">
        <is>
          <t>Diseñador</t>
        </is>
      </c>
      <c r="E999" s="50" t="n">
        <v>61</v>
      </c>
      <c r="F999" s="51">
        <f>E999*$B$5*(1+$B$6)</f>
        <v>79300</v>
      </c>
      <c r="G999" s="51">
        <f>F999*$B$7</f>
        <v>198250</v>
      </c>
      <c r="H999" s="51">
        <f>G999-F999</f>
        <v>118950</v>
      </c>
      <c r="I999" s="52">
        <f>H999/G999</f>
        <v>0.6</v>
      </c>
      <c r="J999" s="53" t="n"/>
      <c r="K999" s="54" t="n"/>
    </row>
    <row r="1000">
      <c r="A1000" s="39" t="inlineStr">
        <is>
          <t>Lancome</t>
        </is>
      </c>
      <c r="B1000" s="47" t="inlineStr">
        <is>
          <t>TESTER LANCOME IDOLE L'EAU DE PARFUM 50ML</t>
        </is>
      </c>
      <c r="C1000" s="48" t="n">
        <v>50</v>
      </c>
      <c r="D1000" s="49" t="inlineStr">
        <is>
          <t>Tester</t>
        </is>
      </c>
      <c r="E1000" s="50" t="n">
        <v>90</v>
      </c>
      <c r="F1000" s="51">
        <f>E1000*$B$5*(1+$B$6)</f>
        <v>117000</v>
      </c>
      <c r="G1000" s="51">
        <f>F1000*$B$7</f>
        <v>292500</v>
      </c>
      <c r="H1000" s="51">
        <f>G1000-F1000</f>
        <v>175500</v>
      </c>
      <c r="I1000" s="52">
        <f>H1000/G1000</f>
        <v>0.6</v>
      </c>
      <c r="J1000" s="53" t="n"/>
      <c r="K1000" s="54" t="n"/>
    </row>
    <row r="1001">
      <c r="A1001" s="39" t="inlineStr">
        <is>
          <t>Lancome</t>
        </is>
      </c>
      <c r="B1001" s="47" t="inlineStr">
        <is>
          <t>TESTER LANCOME IDOLE LE PARFUM 50ML FEM</t>
        </is>
      </c>
      <c r="C1001" s="48" t="n">
        <v>50</v>
      </c>
      <c r="D1001" s="49" t="inlineStr">
        <is>
          <t>Tester</t>
        </is>
      </c>
      <c r="E1001" s="50" t="n">
        <v>65</v>
      </c>
      <c r="F1001" s="51">
        <f>E1001*$B$5*(1+$B$6)</f>
        <v>84500</v>
      </c>
      <c r="G1001" s="51">
        <f>F1001*$B$7</f>
        <v>211250</v>
      </c>
      <c r="H1001" s="51">
        <f>G1001-F1001</f>
        <v>126750</v>
      </c>
      <c r="I1001" s="52">
        <f>H1001/G1001</f>
        <v>0.6</v>
      </c>
      <c r="J1001" s="53" t="n"/>
      <c r="K1001" s="54" t="n"/>
    </row>
    <row r="1002">
      <c r="A1002" s="39" t="inlineStr">
        <is>
          <t>Lancome</t>
        </is>
      </c>
      <c r="B1002" s="47" t="inlineStr">
        <is>
          <t>TESTER LANCOME IDOLE POWER L'EDP INTENSE 50ML</t>
        </is>
      </c>
      <c r="C1002" s="48" t="n">
        <v>50</v>
      </c>
      <c r="D1002" s="49" t="inlineStr">
        <is>
          <t>Tester</t>
        </is>
      </c>
      <c r="E1002" s="50" t="n">
        <v>68</v>
      </c>
      <c r="F1002" s="51">
        <f>E1002*$B$5*(1+$B$6)</f>
        <v>88400</v>
      </c>
      <c r="G1002" s="51">
        <f>F1002*$B$7</f>
        <v>221000</v>
      </c>
      <c r="H1002" s="51">
        <f>G1002-F1002</f>
        <v>132600</v>
      </c>
      <c r="I1002" s="52">
        <f>H1002/G1002</f>
        <v>0.6</v>
      </c>
      <c r="J1002" s="53" t="n"/>
      <c r="K1002" s="54" t="n"/>
    </row>
    <row r="1003">
      <c r="A1003" s="39" t="inlineStr">
        <is>
          <t>Lancome</t>
        </is>
      </c>
      <c r="B1003" s="47" t="inlineStr">
        <is>
          <t>TESTER LANCOME TRESOR L'EDP 100ML FEM C/T</t>
        </is>
      </c>
      <c r="C1003" s="48" t="n">
        <v>100</v>
      </c>
      <c r="D1003" s="49" t="inlineStr">
        <is>
          <t>Tester</t>
        </is>
      </c>
      <c r="E1003" s="50" t="n">
        <v>72</v>
      </c>
      <c r="F1003" s="51">
        <f>E1003*$B$5*(1+$B$6)</f>
        <v>93600</v>
      </c>
      <c r="G1003" s="51">
        <f>F1003*$B$7</f>
        <v>234000</v>
      </c>
      <c r="H1003" s="51">
        <f>G1003-F1003</f>
        <v>140400</v>
      </c>
      <c r="I1003" s="52">
        <f>H1003/G1003</f>
        <v>0.6</v>
      </c>
      <c r="J1003" s="53" t="n"/>
      <c r="K1003" s="54" t="n"/>
    </row>
    <row r="1004">
      <c r="A1004" s="39" t="inlineStr">
        <is>
          <t>Lattafa</t>
        </is>
      </c>
      <c r="B1004" s="47" t="inlineStr">
        <is>
          <t>DESODORANTE LATTAFA SPRAY AMEERAT AL ARAB (VERMELHO) 200ML</t>
        </is>
      </c>
      <c r="C1004" s="48" t="n">
        <v>200</v>
      </c>
      <c r="D1004" s="49" t="inlineStr">
        <is>
          <t>Árabe</t>
        </is>
      </c>
      <c r="E1004" s="50" t="n">
        <v>2.75</v>
      </c>
      <c r="F1004" s="51">
        <f>E1004*$B$5*(1+$B$6)</f>
        <v>3575</v>
      </c>
      <c r="G1004" s="51">
        <f>F1004*$B$7</f>
        <v>8937.5</v>
      </c>
      <c r="H1004" s="51">
        <f>G1004-F1004</f>
        <v>5362.5</v>
      </c>
      <c r="I1004" s="52">
        <f>H1004/G1004</f>
        <v>0.6</v>
      </c>
      <c r="J1004" s="53" t="n"/>
      <c r="K1004" s="54" t="n"/>
    </row>
    <row r="1005">
      <c r="A1005" s="39" t="inlineStr">
        <is>
          <t>Lattafa</t>
        </is>
      </c>
      <c r="B1005" s="47" t="inlineStr">
        <is>
          <t>DESODORANTE LATTAFA SPRAY AMEERAT PRIVE ROSE 200ML</t>
        </is>
      </c>
      <c r="C1005" s="48" t="n">
        <v>200</v>
      </c>
      <c r="D1005" s="49" t="inlineStr">
        <is>
          <t>Árabe</t>
        </is>
      </c>
      <c r="E1005" s="50" t="n">
        <v>2.75</v>
      </c>
      <c r="F1005" s="51">
        <f>E1005*$B$5*(1+$B$6)</f>
        <v>3575</v>
      </c>
      <c r="G1005" s="51">
        <f>F1005*$B$7</f>
        <v>8937.5</v>
      </c>
      <c r="H1005" s="51">
        <f>G1005-F1005</f>
        <v>5362.5</v>
      </c>
      <c r="I1005" s="52">
        <f>H1005/G1005</f>
        <v>0.6</v>
      </c>
      <c r="J1005" s="53" t="n"/>
      <c r="K1005" s="54" t="n"/>
    </row>
    <row r="1006">
      <c r="A1006" s="39" t="inlineStr">
        <is>
          <t>Lattafa</t>
        </is>
      </c>
      <c r="B1006" s="47" t="inlineStr">
        <is>
          <t>DESODORANTE LATTAFA SPRAY ASAD 200ML</t>
        </is>
      </c>
      <c r="C1006" s="48" t="n">
        <v>200</v>
      </c>
      <c r="D1006" s="49" t="inlineStr">
        <is>
          <t>Árabe</t>
        </is>
      </c>
      <c r="E1006" s="50" t="n">
        <v>2.9</v>
      </c>
      <c r="F1006" s="51">
        <f>E1006*$B$5*(1+$B$6)</f>
        <v>3770</v>
      </c>
      <c r="G1006" s="51">
        <f>F1006*$B$7</f>
        <v>9425</v>
      </c>
      <c r="H1006" s="51">
        <f>G1006-F1006</f>
        <v>5655</v>
      </c>
      <c r="I1006" s="52">
        <f>H1006/G1006</f>
        <v>0.6</v>
      </c>
      <c r="J1006" s="53" t="n"/>
      <c r="K1006" s="54" t="n"/>
    </row>
    <row r="1007">
      <c r="A1007" s="39" t="inlineStr">
        <is>
          <t>Lattafa</t>
        </is>
      </c>
      <c r="B1007" s="47" t="inlineStr">
        <is>
          <t>DESODORANTE LATTAFA SPRAY BADEE AL OUD FOR GLORY 200ML</t>
        </is>
      </c>
      <c r="C1007" s="48" t="n">
        <v>200</v>
      </c>
      <c r="D1007" s="49" t="inlineStr">
        <is>
          <t>Árabe</t>
        </is>
      </c>
      <c r="E1007" s="50" t="n">
        <v>2.75</v>
      </c>
      <c r="F1007" s="51">
        <f>E1007*$B$5*(1+$B$6)</f>
        <v>3575</v>
      </c>
      <c r="G1007" s="51">
        <f>F1007*$B$7</f>
        <v>8937.5</v>
      </c>
      <c r="H1007" s="51">
        <f>G1007-F1007</f>
        <v>5362.5</v>
      </c>
      <c r="I1007" s="52">
        <f>H1007/G1007</f>
        <v>0.6</v>
      </c>
      <c r="J1007" s="53" t="n"/>
      <c r="K1007" s="54" t="n"/>
    </row>
    <row r="1008">
      <c r="A1008" s="39" t="inlineStr">
        <is>
          <t>Lattafa</t>
        </is>
      </c>
      <c r="B1008" s="47" t="inlineStr">
        <is>
          <t>DESODORANTE LATTAFA SPRAY BADEE AL OUD HONOR Y GLORY 200ML</t>
        </is>
      </c>
      <c r="C1008" s="48" t="n">
        <v>200</v>
      </c>
      <c r="D1008" s="49" t="inlineStr">
        <is>
          <t>Árabe</t>
        </is>
      </c>
      <c r="E1008" s="50" t="n">
        <v>2.75</v>
      </c>
      <c r="F1008" s="51">
        <f>E1008*$B$5*(1+$B$6)</f>
        <v>3575</v>
      </c>
      <c r="G1008" s="51">
        <f>F1008*$B$7</f>
        <v>8937.5</v>
      </c>
      <c r="H1008" s="51">
        <f>G1008-F1008</f>
        <v>5362.5</v>
      </c>
      <c r="I1008" s="52">
        <f>H1008/G1008</f>
        <v>0.6</v>
      </c>
      <c r="J1008" s="53" t="n"/>
      <c r="K1008" s="54" t="n"/>
    </row>
    <row r="1009">
      <c r="A1009" s="39" t="inlineStr">
        <is>
          <t>Lattafa</t>
        </is>
      </c>
      <c r="B1009" s="47" t="inlineStr">
        <is>
          <t>DESODORANTE LATTAFA SPRAY FAKHAR EXTRAIT 200ML</t>
        </is>
      </c>
      <c r="C1009" s="48" t="n">
        <v>200</v>
      </c>
      <c r="D1009" s="49" t="inlineStr">
        <is>
          <t>Árabe</t>
        </is>
      </c>
      <c r="E1009" s="50" t="n">
        <v>2.75</v>
      </c>
      <c r="F1009" s="51">
        <f>E1009*$B$5*(1+$B$6)</f>
        <v>3575</v>
      </c>
      <c r="G1009" s="51">
        <f>F1009*$B$7</f>
        <v>8937.5</v>
      </c>
      <c r="H1009" s="51">
        <f>G1009-F1009</f>
        <v>5362.5</v>
      </c>
      <c r="I1009" s="52">
        <f>H1009/G1009</f>
        <v>0.6</v>
      </c>
      <c r="J1009" s="53" t="n"/>
      <c r="K1009" s="54" t="n"/>
    </row>
    <row r="1010">
      <c r="A1010" s="39" t="inlineStr">
        <is>
          <t>Lattafa</t>
        </is>
      </c>
      <c r="B1010" s="47" t="inlineStr">
        <is>
          <t>DESODORANTE LATTAFA SPRAY FAKHAR HOMME 200ML</t>
        </is>
      </c>
      <c r="C1010" s="48" t="n">
        <v>200</v>
      </c>
      <c r="D1010" s="49" t="inlineStr">
        <is>
          <t>Árabe</t>
        </is>
      </c>
      <c r="E1010" s="50" t="n">
        <v>2.75</v>
      </c>
      <c r="F1010" s="51">
        <f>E1010*$B$5*(1+$B$6)</f>
        <v>3575</v>
      </c>
      <c r="G1010" s="51">
        <f>F1010*$B$7</f>
        <v>8937.5</v>
      </c>
      <c r="H1010" s="51">
        <f>G1010-F1010</f>
        <v>5362.5</v>
      </c>
      <c r="I1010" s="52">
        <f>H1010/G1010</f>
        <v>0.6</v>
      </c>
      <c r="J1010" s="53" t="n"/>
      <c r="K1010" s="54" t="n"/>
    </row>
    <row r="1011">
      <c r="A1011" s="39" t="inlineStr">
        <is>
          <t>Lattafa</t>
        </is>
      </c>
      <c r="B1011" s="47" t="inlineStr">
        <is>
          <t>DESODORANTE LATTAFA SPRAY KHAMRAH 200ML</t>
        </is>
      </c>
      <c r="C1011" s="48" t="n">
        <v>200</v>
      </c>
      <c r="D1011" s="49" t="inlineStr">
        <is>
          <t>Árabe</t>
        </is>
      </c>
      <c r="E1011" s="50" t="n">
        <v>2.9</v>
      </c>
      <c r="F1011" s="51">
        <f>E1011*$B$5*(1+$B$6)</f>
        <v>3770</v>
      </c>
      <c r="G1011" s="51">
        <f>F1011*$B$7</f>
        <v>9425</v>
      </c>
      <c r="H1011" s="51">
        <f>G1011-F1011</f>
        <v>5655</v>
      </c>
      <c r="I1011" s="52">
        <f>H1011/G1011</f>
        <v>0.6</v>
      </c>
      <c r="J1011" s="53" t="n"/>
      <c r="K1011" s="54" t="n"/>
    </row>
    <row r="1012">
      <c r="A1012" s="39" t="inlineStr">
        <is>
          <t>Lattafa</t>
        </is>
      </c>
      <c r="B1012" s="47" t="inlineStr">
        <is>
          <t>DESODORANTE LATTAFA SPRAY KHAMRAH QAHWA 200ML</t>
        </is>
      </c>
      <c r="C1012" s="48" t="n">
        <v>200</v>
      </c>
      <c r="D1012" s="49" t="inlineStr">
        <is>
          <t>Árabe</t>
        </is>
      </c>
      <c r="E1012" s="50" t="n">
        <v>2.75</v>
      </c>
      <c r="F1012" s="51">
        <f>E1012*$B$5*(1+$B$6)</f>
        <v>3575</v>
      </c>
      <c r="G1012" s="51">
        <f>F1012*$B$7</f>
        <v>8937.5</v>
      </c>
      <c r="H1012" s="51">
        <f>G1012-F1012</f>
        <v>5362.5</v>
      </c>
      <c r="I1012" s="52">
        <f>H1012/G1012</f>
        <v>0.6</v>
      </c>
      <c r="J1012" s="53" t="n"/>
      <c r="K1012" s="54" t="n"/>
    </row>
    <row r="1013">
      <c r="A1013" s="39" t="inlineStr">
        <is>
          <t>Lattafa</t>
        </is>
      </c>
      <c r="B1013" s="47" t="inlineStr">
        <is>
          <t>DESODORANTE LATTAFA SPRAY QAED AL FURSAN 200ML</t>
        </is>
      </c>
      <c r="C1013" s="48" t="n">
        <v>200</v>
      </c>
      <c r="D1013" s="49" t="inlineStr">
        <is>
          <t>Árabe</t>
        </is>
      </c>
      <c r="E1013" s="50" t="n">
        <v>2.75</v>
      </c>
      <c r="F1013" s="51">
        <f>E1013*$B$5*(1+$B$6)</f>
        <v>3575</v>
      </c>
      <c r="G1013" s="51">
        <f>F1013*$B$7</f>
        <v>8937.5</v>
      </c>
      <c r="H1013" s="51">
        <f>G1013-F1013</f>
        <v>5362.5</v>
      </c>
      <c r="I1013" s="52">
        <f>H1013/G1013</f>
        <v>0.6</v>
      </c>
      <c r="J1013" s="53" t="n"/>
      <c r="K1013" s="54" t="n"/>
    </row>
    <row r="1014">
      <c r="A1014" s="39" t="inlineStr">
        <is>
          <t>Lattafa</t>
        </is>
      </c>
      <c r="B1014" s="47" t="inlineStr">
        <is>
          <t>LATTAFA AJWAD EDP 60ML ***PROMOCAO $11,75</t>
        </is>
      </c>
      <c r="C1014" s="48" t="n">
        <v>60</v>
      </c>
      <c r="D1014" s="49" t="inlineStr">
        <is>
          <t>Árabe</t>
        </is>
      </c>
      <c r="E1014" s="50" t="n">
        <v>13.55</v>
      </c>
      <c r="F1014" s="51">
        <f>E1014*$B$5*(1+$B$6)</f>
        <v>17615</v>
      </c>
      <c r="G1014" s="51">
        <f>F1014*$B$7</f>
        <v>44037.5</v>
      </c>
      <c r="H1014" s="51">
        <f>G1014-F1014</f>
        <v>26422.5</v>
      </c>
      <c r="I1014" s="52">
        <f>H1014/G1014</f>
        <v>0.6</v>
      </c>
      <c r="J1014" s="53" t="n"/>
      <c r="K1014" s="54" t="n"/>
    </row>
    <row r="1015">
      <c r="A1015" s="39" t="inlineStr">
        <is>
          <t>Lattafa</t>
        </is>
      </c>
      <c r="B1015" s="47" t="inlineStr">
        <is>
          <t>LATTAFA AJWAD PINK TO PINK 60ML</t>
        </is>
      </c>
      <c r="C1015" s="48" t="n">
        <v>60</v>
      </c>
      <c r="D1015" s="49" t="inlineStr">
        <is>
          <t>Árabe</t>
        </is>
      </c>
      <c r="E1015" s="50" t="n">
        <v>13.53</v>
      </c>
      <c r="F1015" s="51">
        <f>E1015*$B$5*(1+$B$6)</f>
        <v>17589</v>
      </c>
      <c r="G1015" s="51">
        <f>F1015*$B$7</f>
        <v>43972.5</v>
      </c>
      <c r="H1015" s="51">
        <f>G1015-F1015</f>
        <v>26383.5</v>
      </c>
      <c r="I1015" s="52">
        <f>H1015/G1015</f>
        <v>0.6</v>
      </c>
      <c r="J1015" s="53" t="n"/>
      <c r="K1015" s="54" t="n"/>
    </row>
    <row r="1016">
      <c r="A1016" s="39" t="inlineStr">
        <is>
          <t>Lattafa</t>
        </is>
      </c>
      <c r="B1016" s="47" t="inlineStr">
        <is>
          <t>LATTAFA AL DUR AL MAKNOON SILVER 100ML</t>
        </is>
      </c>
      <c r="C1016" s="48" t="n">
        <v>100</v>
      </c>
      <c r="D1016" s="49" t="inlineStr">
        <is>
          <t>Árabe</t>
        </is>
      </c>
      <c r="E1016" s="50" t="n">
        <v>9.25</v>
      </c>
      <c r="F1016" s="51">
        <f>E1016*$B$5*(1+$B$6)</f>
        <v>12025</v>
      </c>
      <c r="G1016" s="51">
        <f>F1016*$B$7</f>
        <v>30062.5</v>
      </c>
      <c r="H1016" s="51">
        <f>G1016-F1016</f>
        <v>18037.5</v>
      </c>
      <c r="I1016" s="52">
        <f>H1016/G1016</f>
        <v>0.6</v>
      </c>
      <c r="J1016" s="53" t="n"/>
      <c r="K1016" s="54" t="n"/>
    </row>
    <row r="1017">
      <c r="A1017" s="39" t="inlineStr">
        <is>
          <t>Lattafa</t>
        </is>
      </c>
      <c r="B1017" s="47" t="inlineStr">
        <is>
          <t>LATTAFA AL NASHAMA CAPRICE EDP 100ML</t>
        </is>
      </c>
      <c r="C1017" s="48" t="n">
        <v>100</v>
      </c>
      <c r="D1017" s="49" t="inlineStr">
        <is>
          <t>Árabe</t>
        </is>
      </c>
      <c r="E1017" s="50" t="n">
        <v>17.65</v>
      </c>
      <c r="F1017" s="51">
        <f>E1017*$B$5*(1+$B$6)</f>
        <v>22945</v>
      </c>
      <c r="G1017" s="51">
        <f>F1017*$B$7</f>
        <v>57362.5</v>
      </c>
      <c r="H1017" s="51">
        <f>G1017-F1017</f>
        <v>34417.5</v>
      </c>
      <c r="I1017" s="52">
        <f>H1017/G1017</f>
        <v>0.6</v>
      </c>
      <c r="J1017" s="53" t="n"/>
      <c r="K1017" s="54" t="n"/>
    </row>
    <row r="1018">
      <c r="A1018" s="39" t="inlineStr">
        <is>
          <t>Lattafa</t>
        </is>
      </c>
      <c r="B1018" s="47" t="inlineStr">
        <is>
          <t>LATTAFA AL NOBLE AMEER EDP 100ML</t>
        </is>
      </c>
      <c r="C1018" s="48" t="n">
        <v>100</v>
      </c>
      <c r="D1018" s="49" t="inlineStr">
        <is>
          <t>Árabe</t>
        </is>
      </c>
      <c r="E1018" s="50" t="n">
        <v>16.47</v>
      </c>
      <c r="F1018" s="51">
        <f>E1018*$B$5*(1+$B$6)</f>
        <v>21411</v>
      </c>
      <c r="G1018" s="51">
        <f>F1018*$B$7</f>
        <v>53527.5</v>
      </c>
      <c r="H1018" s="51">
        <f>G1018-F1018</f>
        <v>32116.5</v>
      </c>
      <c r="I1018" s="52">
        <f>H1018/G1018</f>
        <v>0.6</v>
      </c>
      <c r="J1018" s="53" t="n"/>
      <c r="K1018" s="54" t="n"/>
    </row>
    <row r="1019">
      <c r="A1019" s="39" t="inlineStr">
        <is>
          <t>Lattafa</t>
        </is>
      </c>
      <c r="B1019" s="47" t="inlineStr">
        <is>
          <t>LATTAFA AL NOBLE SAFEER EDP 100ML</t>
        </is>
      </c>
      <c r="C1019" s="48" t="n">
        <v>100</v>
      </c>
      <c r="D1019" s="49" t="inlineStr">
        <is>
          <t>Árabe</t>
        </is>
      </c>
      <c r="E1019" s="50" t="n">
        <v>16.47</v>
      </c>
      <c r="F1019" s="51">
        <f>E1019*$B$5*(1+$B$6)</f>
        <v>21411</v>
      </c>
      <c r="G1019" s="51">
        <f>F1019*$B$7</f>
        <v>53527.5</v>
      </c>
      <c r="H1019" s="51">
        <f>G1019-F1019</f>
        <v>32116.5</v>
      </c>
      <c r="I1019" s="52">
        <f>H1019/G1019</f>
        <v>0.6</v>
      </c>
      <c r="J1019" s="53" t="n"/>
      <c r="K1019" s="54" t="n"/>
    </row>
    <row r="1020">
      <c r="A1020" s="39" t="inlineStr">
        <is>
          <t>Lattafa</t>
        </is>
      </c>
      <c r="B1020" s="47" t="inlineStr">
        <is>
          <t>LATTAFA AL NOBLE WAZEER EDP 100ML</t>
        </is>
      </c>
      <c r="C1020" s="48" t="n">
        <v>100</v>
      </c>
      <c r="D1020" s="49" t="inlineStr">
        <is>
          <t>Árabe</t>
        </is>
      </c>
      <c r="E1020" s="50" t="n">
        <v>16.5</v>
      </c>
      <c r="F1020" s="51">
        <f>E1020*$B$5*(1+$B$6)</f>
        <v>21450</v>
      </c>
      <c r="G1020" s="51">
        <f>F1020*$B$7</f>
        <v>53625</v>
      </c>
      <c r="H1020" s="51">
        <f>G1020-F1020</f>
        <v>32175</v>
      </c>
      <c r="I1020" s="52">
        <f>H1020/G1020</f>
        <v>0.6</v>
      </c>
      <c r="J1020" s="53" t="n"/>
      <c r="K1020" s="54" t="n"/>
    </row>
    <row r="1021">
      <c r="A1021" s="39" t="inlineStr">
        <is>
          <t>Lattafa</t>
        </is>
      </c>
      <c r="B1021" s="47" t="inlineStr">
        <is>
          <t>LATTAFA AMEER AL OUDH INTENSE OUD EDP 100ML</t>
        </is>
      </c>
      <c r="C1021" s="48" t="n">
        <v>100</v>
      </c>
      <c r="D1021" s="49" t="inlineStr">
        <is>
          <t>Árabe</t>
        </is>
      </c>
      <c r="E1021" s="50" t="n">
        <v>10.75</v>
      </c>
      <c r="F1021" s="51">
        <f>E1021*$B$5*(1+$B$6)</f>
        <v>13975</v>
      </c>
      <c r="G1021" s="51">
        <f>F1021*$B$7</f>
        <v>34937.5</v>
      </c>
      <c r="H1021" s="51">
        <f>G1021-F1021</f>
        <v>20962.5</v>
      </c>
      <c r="I1021" s="52">
        <f>H1021/G1021</f>
        <v>0.6</v>
      </c>
      <c r="J1021" s="53" t="n"/>
      <c r="K1021" s="54" t="n"/>
    </row>
    <row r="1022">
      <c r="A1022" s="39" t="inlineStr">
        <is>
          <t>Lattafa</t>
        </is>
      </c>
      <c r="B1022" s="47" t="inlineStr">
        <is>
          <t>LATTAFA ANA ABIYEDH LEATHER EDP 60ML</t>
        </is>
      </c>
      <c r="C1022" s="48" t="n">
        <v>60</v>
      </c>
      <c r="D1022" s="49" t="inlineStr">
        <is>
          <t>Árabe</t>
        </is>
      </c>
      <c r="E1022" s="50" t="n">
        <v>10.5</v>
      </c>
      <c r="F1022" s="51">
        <f>E1022*$B$5*(1+$B$6)</f>
        <v>13650</v>
      </c>
      <c r="G1022" s="51">
        <f>F1022*$B$7</f>
        <v>34125</v>
      </c>
      <c r="H1022" s="51">
        <f>G1022-F1022</f>
        <v>20475</v>
      </c>
      <c r="I1022" s="52">
        <f>H1022/G1022</f>
        <v>0.6</v>
      </c>
      <c r="J1022" s="53" t="n"/>
      <c r="K1022" s="54" t="n"/>
    </row>
    <row r="1023">
      <c r="A1023" s="39" t="inlineStr">
        <is>
          <t>Lattafa</t>
        </is>
      </c>
      <c r="B1023" s="47" t="inlineStr">
        <is>
          <t>LATTAFA ANA ABIYEDH ROUGE EDP 60ML</t>
        </is>
      </c>
      <c r="C1023" s="48" t="n">
        <v>60</v>
      </c>
      <c r="D1023" s="49" t="inlineStr">
        <is>
          <t>Árabe</t>
        </is>
      </c>
      <c r="E1023" s="50" t="n">
        <v>11.49</v>
      </c>
      <c r="F1023" s="51">
        <f>E1023*$B$5*(1+$B$6)</f>
        <v>14937</v>
      </c>
      <c r="G1023" s="51">
        <f>F1023*$B$7</f>
        <v>37342.5</v>
      </c>
      <c r="H1023" s="51">
        <f>G1023-F1023</f>
        <v>22405.5</v>
      </c>
      <c r="I1023" s="52">
        <f>H1023/G1023</f>
        <v>0.6</v>
      </c>
      <c r="J1023" s="53" t="n"/>
      <c r="K1023" s="54" t="n"/>
    </row>
    <row r="1024">
      <c r="A1024" s="39" t="inlineStr">
        <is>
          <t>Lattafa</t>
        </is>
      </c>
      <c r="B1024" s="47" t="inlineStr">
        <is>
          <t>LATTAFA ANA ABIYEDH SCARLET 60ML</t>
        </is>
      </c>
      <c r="C1024" s="48" t="n">
        <v>60</v>
      </c>
      <c r="D1024" s="49" t="inlineStr">
        <is>
          <t>Árabe</t>
        </is>
      </c>
      <c r="E1024" s="50" t="n">
        <v>11.5</v>
      </c>
      <c r="F1024" s="51">
        <f>E1024*$B$5*(1+$B$6)</f>
        <v>14950</v>
      </c>
      <c r="G1024" s="51">
        <f>F1024*$B$7</f>
        <v>37375</v>
      </c>
      <c r="H1024" s="51">
        <f>G1024-F1024</f>
        <v>22425</v>
      </c>
      <c r="I1024" s="52">
        <f>H1024/G1024</f>
        <v>0.6</v>
      </c>
      <c r="J1024" s="53" t="n"/>
      <c r="K1024" s="54" t="n"/>
    </row>
    <row r="1025">
      <c r="A1025" s="39" t="inlineStr">
        <is>
          <t>Lattafa</t>
        </is>
      </c>
      <c r="B1025" s="47" t="inlineStr">
        <is>
          <t>LATTAFA ANGHAM EDP 100ML UNISSEX</t>
        </is>
      </c>
      <c r="C1025" s="48" t="n">
        <v>100</v>
      </c>
      <c r="D1025" s="49" t="inlineStr">
        <is>
          <t>Árabe</t>
        </is>
      </c>
      <c r="E1025" s="50" t="n">
        <v>18.9</v>
      </c>
      <c r="F1025" s="51">
        <f>E1025*$B$5*(1+$B$6)</f>
        <v>24570</v>
      </c>
      <c r="G1025" s="51">
        <f>F1025*$B$7</f>
        <v>61425</v>
      </c>
      <c r="H1025" s="51">
        <f>G1025-F1025</f>
        <v>36855</v>
      </c>
      <c r="I1025" s="52">
        <f>H1025/G1025</f>
        <v>0.6</v>
      </c>
      <c r="J1025" s="53" t="n"/>
      <c r="K1025" s="54" t="n"/>
    </row>
    <row r="1026">
      <c r="A1026" s="39" t="inlineStr">
        <is>
          <t>Lattafa</t>
        </is>
      </c>
      <c r="B1026" s="47" t="inlineStr">
        <is>
          <t>LATTAFA ANGHAM SECOND SONG EDP 100ML</t>
        </is>
      </c>
      <c r="C1026" s="48" t="n">
        <v>100</v>
      </c>
      <c r="D1026" s="49" t="inlineStr">
        <is>
          <t>Árabe</t>
        </is>
      </c>
      <c r="E1026" s="50" t="n">
        <v>21.5</v>
      </c>
      <c r="F1026" s="51">
        <f>E1026*$B$5*(1+$B$6)</f>
        <v>27950</v>
      </c>
      <c r="G1026" s="51">
        <f>F1026*$B$7</f>
        <v>69875</v>
      </c>
      <c r="H1026" s="51">
        <f>G1026-F1026</f>
        <v>41925</v>
      </c>
      <c r="I1026" s="52">
        <f>H1026/G1026</f>
        <v>0.6</v>
      </c>
      <c r="J1026" s="53" t="n"/>
      <c r="K1026" s="54" t="n"/>
    </row>
    <row r="1027">
      <c r="A1027" s="39" t="inlineStr">
        <is>
          <t>Lattafa</t>
        </is>
      </c>
      <c r="B1027" s="47" t="inlineStr">
        <is>
          <t>LATTAFA ASAD (BLACK) EDP 100ML</t>
        </is>
      </c>
      <c r="C1027" s="48" t="n">
        <v>100</v>
      </c>
      <c r="D1027" s="49" t="inlineStr">
        <is>
          <t>Árabe</t>
        </is>
      </c>
      <c r="E1027" s="50" t="n">
        <v>19.99</v>
      </c>
      <c r="F1027" s="51">
        <f>E1027*$B$5*(1+$B$6)</f>
        <v>25987</v>
      </c>
      <c r="G1027" s="51">
        <f>F1027*$B$7</f>
        <v>64967.5</v>
      </c>
      <c r="H1027" s="51">
        <f>G1027-F1027</f>
        <v>38980.5</v>
      </c>
      <c r="I1027" s="52">
        <f>H1027/G1027</f>
        <v>0.6</v>
      </c>
      <c r="J1027" s="53" t="n"/>
      <c r="K1027" s="54" t="n"/>
    </row>
    <row r="1028">
      <c r="A1028" s="39" t="inlineStr">
        <is>
          <t>Lattafa</t>
        </is>
      </c>
      <c r="B1028" s="47" t="inlineStr">
        <is>
          <t>LATTAFA ASAD BOURBON EDP 100ML</t>
        </is>
      </c>
      <c r="C1028" s="48" t="n">
        <v>100</v>
      </c>
      <c r="D1028" s="49" t="inlineStr">
        <is>
          <t>Árabe</t>
        </is>
      </c>
      <c r="E1028" s="50" t="n">
        <v>23.9</v>
      </c>
      <c r="F1028" s="51">
        <f>E1028*$B$5*(1+$B$6)</f>
        <v>31070</v>
      </c>
      <c r="G1028" s="51">
        <f>F1028*$B$7</f>
        <v>77675</v>
      </c>
      <c r="H1028" s="51">
        <f>G1028-F1028</f>
        <v>46605</v>
      </c>
      <c r="I1028" s="52">
        <f>H1028/G1028</f>
        <v>0.6</v>
      </c>
      <c r="J1028" s="53" t="n"/>
      <c r="K1028" s="54" t="n"/>
    </row>
    <row r="1029">
      <c r="A1029" s="39" t="inlineStr">
        <is>
          <t>Lattafa</t>
        </is>
      </c>
      <c r="B1029" s="47" t="inlineStr">
        <is>
          <t>LATTAFA ASAD ZANZIBAR (EDICAO LIMITADA ANIVERSARIO) EDP 100ML</t>
        </is>
      </c>
      <c r="C1029" s="48" t="n">
        <v>100</v>
      </c>
      <c r="D1029" s="49" t="inlineStr">
        <is>
          <t>Árabe</t>
        </is>
      </c>
      <c r="E1029" s="50" t="n">
        <v>18.8</v>
      </c>
      <c r="F1029" s="51">
        <f>E1029*$B$5*(1+$B$6)</f>
        <v>24440</v>
      </c>
      <c r="G1029" s="51">
        <f>F1029*$B$7</f>
        <v>61100</v>
      </c>
      <c r="H1029" s="51">
        <f>G1029-F1029</f>
        <v>36660</v>
      </c>
      <c r="I1029" s="52">
        <f>H1029/G1029</f>
        <v>0.6</v>
      </c>
      <c r="J1029" s="53" t="n"/>
      <c r="K1029" s="54" t="n"/>
    </row>
    <row r="1030">
      <c r="A1030" s="39" t="inlineStr">
        <is>
          <t>Lattafa</t>
        </is>
      </c>
      <c r="B1030" s="47" t="inlineStr">
        <is>
          <t>LATTAFA ASDAAF AMEER AL ARAB (BLACK) EDP 100ML</t>
        </is>
      </c>
      <c r="C1030" s="48" t="n">
        <v>100</v>
      </c>
      <c r="D1030" s="49" t="inlineStr">
        <is>
          <t>Árabe</t>
        </is>
      </c>
      <c r="E1030" s="50" t="n">
        <v>12</v>
      </c>
      <c r="F1030" s="51">
        <f>E1030*$B$5*(1+$B$6)</f>
        <v>15600</v>
      </c>
      <c r="G1030" s="51">
        <f>F1030*$B$7</f>
        <v>39000</v>
      </c>
      <c r="H1030" s="51">
        <f>G1030-F1030</f>
        <v>23400</v>
      </c>
      <c r="I1030" s="52">
        <f>H1030/G1030</f>
        <v>0.6</v>
      </c>
      <c r="J1030" s="53" t="n"/>
      <c r="K1030" s="54" t="n"/>
    </row>
    <row r="1031">
      <c r="A1031" s="39" t="inlineStr">
        <is>
          <t>Lattafa</t>
        </is>
      </c>
      <c r="B1031" s="47" t="inlineStr">
        <is>
          <t>LATTAFA ASDAAF AMEER AL ARAB IMPERIUM EDP 100ML (AZUL)</t>
        </is>
      </c>
      <c r="C1031" s="48" t="n">
        <v>100</v>
      </c>
      <c r="D1031" s="49" t="inlineStr">
        <is>
          <t>Árabe</t>
        </is>
      </c>
      <c r="E1031" s="50" t="n">
        <v>11.4</v>
      </c>
      <c r="F1031" s="51">
        <f>E1031*$B$5*(1+$B$6)</f>
        <v>14820</v>
      </c>
      <c r="G1031" s="51">
        <f>F1031*$B$7</f>
        <v>37050</v>
      </c>
      <c r="H1031" s="51">
        <f>G1031-F1031</f>
        <v>22230</v>
      </c>
      <c r="I1031" s="52">
        <f>H1031/G1031</f>
        <v>0.6</v>
      </c>
      <c r="J1031" s="53" t="n"/>
      <c r="K1031" s="54" t="n"/>
    </row>
    <row r="1032">
      <c r="A1032" s="39" t="inlineStr">
        <is>
          <t>Lattafa</t>
        </is>
      </c>
      <c r="B1032" s="47" t="inlineStr">
        <is>
          <t>LATTAFA ASDAAF AMEERAT AL ARAB (VERMELHO) EDP 100ML FEM</t>
        </is>
      </c>
      <c r="C1032" s="48" t="n">
        <v>100</v>
      </c>
      <c r="D1032" s="49" t="inlineStr">
        <is>
          <t>Árabe</t>
        </is>
      </c>
      <c r="E1032" s="50" t="n">
        <v>12.5</v>
      </c>
      <c r="F1032" s="51">
        <f>E1032*$B$5*(1+$B$6)</f>
        <v>16250</v>
      </c>
      <c r="G1032" s="51">
        <f>F1032*$B$7</f>
        <v>40625</v>
      </c>
      <c r="H1032" s="51">
        <f>G1032-F1032</f>
        <v>24375</v>
      </c>
      <c r="I1032" s="52">
        <f>H1032/G1032</f>
        <v>0.6</v>
      </c>
      <c r="J1032" s="53" t="n"/>
      <c r="K1032" s="54" t="n"/>
    </row>
    <row r="1033">
      <c r="A1033" s="39" t="inlineStr">
        <is>
          <t>Lattafa</t>
        </is>
      </c>
      <c r="B1033" s="47" t="inlineStr">
        <is>
          <t>LATTAFA ASDAAF AMEERAT AL ARAB PRIVE ROSE EDP 100ML FEM</t>
        </is>
      </c>
      <c r="C1033" s="48" t="n">
        <v>100</v>
      </c>
      <c r="D1033" s="49" t="inlineStr">
        <is>
          <t>Árabe</t>
        </is>
      </c>
      <c r="E1033" s="50" t="n">
        <v>14</v>
      </c>
      <c r="F1033" s="51">
        <f>E1033*$B$5*(1+$B$6)</f>
        <v>18200</v>
      </c>
      <c r="G1033" s="51">
        <f>F1033*$B$7</f>
        <v>45500</v>
      </c>
      <c r="H1033" s="51">
        <f>G1033-F1033</f>
        <v>27300</v>
      </c>
      <c r="I1033" s="52">
        <f>H1033/G1033</f>
        <v>0.6</v>
      </c>
      <c r="J1033" s="53" t="n"/>
      <c r="K1033" s="54" t="n"/>
    </row>
    <row r="1034">
      <c r="A1034" s="39" t="inlineStr">
        <is>
          <t>Lattafa</t>
        </is>
      </c>
      <c r="B1034" s="47" t="inlineStr">
        <is>
          <t>LATTAFA ASDAAF QARAR EDP 80ML</t>
        </is>
      </c>
      <c r="C1034" s="48" t="n">
        <v>80</v>
      </c>
      <c r="D1034" s="49" t="inlineStr">
        <is>
          <t>Árabe</t>
        </is>
      </c>
      <c r="E1034" s="50" t="n">
        <v>16</v>
      </c>
      <c r="F1034" s="51">
        <f>E1034*$B$5*(1+$B$6)</f>
        <v>20800</v>
      </c>
      <c r="G1034" s="51">
        <f>F1034*$B$7</f>
        <v>52000</v>
      </c>
      <c r="H1034" s="51">
        <f>G1034-F1034</f>
        <v>31200</v>
      </c>
      <c r="I1034" s="52">
        <f>H1034/G1034</f>
        <v>0.6</v>
      </c>
      <c r="J1034" s="53" t="n"/>
      <c r="K1034" s="54" t="n"/>
    </row>
    <row r="1035">
      <c r="A1035" s="39" t="inlineStr">
        <is>
          <t>Lattafa</t>
        </is>
      </c>
      <c r="B1035" s="47" t="inlineStr">
        <is>
          <t>LATTAFA ATHEERI EDP 100ML</t>
        </is>
      </c>
      <c r="C1035" s="48" t="n">
        <v>100</v>
      </c>
      <c r="D1035" s="49" t="inlineStr">
        <is>
          <t>Árabe</t>
        </is>
      </c>
      <c r="E1035" s="50" t="n">
        <v>43</v>
      </c>
      <c r="F1035" s="51">
        <f>E1035*$B$5*(1+$B$6)</f>
        <v>55900</v>
      </c>
      <c r="G1035" s="51">
        <f>F1035*$B$7</f>
        <v>139750</v>
      </c>
      <c r="H1035" s="51">
        <f>G1035-F1035</f>
        <v>83850</v>
      </c>
      <c r="I1035" s="52">
        <f>H1035/G1035</f>
        <v>0.6</v>
      </c>
      <c r="J1035" s="53" t="n"/>
      <c r="K1035" s="54" t="n"/>
    </row>
    <row r="1036">
      <c r="A1036" s="39" t="inlineStr">
        <is>
          <t>Lattafa</t>
        </is>
      </c>
      <c r="B1036" s="47" t="inlineStr">
        <is>
          <t>LATTAFA BADEE AL OUD AMETHYST (PURPLE) EDP 100ML</t>
        </is>
      </c>
      <c r="C1036" s="48" t="n">
        <v>100</v>
      </c>
      <c r="D1036" s="49" t="inlineStr">
        <is>
          <t>Árabe</t>
        </is>
      </c>
      <c r="E1036" s="50" t="n">
        <v>17.25</v>
      </c>
      <c r="F1036" s="51">
        <f>E1036*$B$5*(1+$B$6)</f>
        <v>22425</v>
      </c>
      <c r="G1036" s="51">
        <f>F1036*$B$7</f>
        <v>56062.5</v>
      </c>
      <c r="H1036" s="51">
        <f>G1036-F1036</f>
        <v>33637.5</v>
      </c>
      <c r="I1036" s="52">
        <f>H1036/G1036</f>
        <v>0.6</v>
      </c>
      <c r="J1036" s="53" t="n"/>
      <c r="K1036" s="54" t="n"/>
    </row>
    <row r="1037">
      <c r="A1037" s="39" t="inlineStr">
        <is>
          <t>Lattafa</t>
        </is>
      </c>
      <c r="B1037" s="47" t="inlineStr">
        <is>
          <t>LATTAFA BADEE AL OUD FOR GLORY (BLACK) EDP 100ML</t>
        </is>
      </c>
      <c r="C1037" s="48" t="n">
        <v>100</v>
      </c>
      <c r="D1037" s="49" t="inlineStr">
        <is>
          <t>Árabe</t>
        </is>
      </c>
      <c r="E1037" s="50" t="n">
        <v>18.24</v>
      </c>
      <c r="F1037" s="51">
        <f>E1037*$B$5*(1+$B$6)</f>
        <v>23712</v>
      </c>
      <c r="G1037" s="51">
        <f>F1037*$B$7</f>
        <v>59280</v>
      </c>
      <c r="H1037" s="51">
        <f>G1037-F1037</f>
        <v>35568</v>
      </c>
      <c r="I1037" s="52">
        <f>H1037/G1037</f>
        <v>0.6</v>
      </c>
      <c r="J1037" s="53" t="n"/>
      <c r="K1037" s="54" t="n"/>
    </row>
    <row r="1038">
      <c r="A1038" s="39" t="inlineStr">
        <is>
          <t>Lattafa</t>
        </is>
      </c>
      <c r="B1038" s="47" t="inlineStr">
        <is>
          <t>LATTAFA BADEE AL OUD HONOR AND GLORY (WHITE) EDP 100ML</t>
        </is>
      </c>
      <c r="C1038" s="48" t="n">
        <v>100</v>
      </c>
      <c r="D1038" s="49" t="inlineStr">
        <is>
          <t>Árabe</t>
        </is>
      </c>
      <c r="E1038" s="50" t="n">
        <v>18.24</v>
      </c>
      <c r="F1038" s="51">
        <f>E1038*$B$5*(1+$B$6)</f>
        <v>23712</v>
      </c>
      <c r="G1038" s="51">
        <f>F1038*$B$7</f>
        <v>59280</v>
      </c>
      <c r="H1038" s="51">
        <f>G1038-F1038</f>
        <v>35568</v>
      </c>
      <c r="I1038" s="52">
        <f>H1038/G1038</f>
        <v>0.6</v>
      </c>
      <c r="J1038" s="53" t="n"/>
      <c r="K1038" s="54" t="n"/>
    </row>
    <row r="1039">
      <c r="A1039" s="39" t="inlineStr">
        <is>
          <t>Lattafa</t>
        </is>
      </c>
      <c r="B1039" s="47" t="inlineStr">
        <is>
          <t>LATTAFA BADEE AL OUD NOBLE BLUSH (PINK) EDP 100ML</t>
        </is>
      </c>
      <c r="C1039" s="48" t="n">
        <v>100</v>
      </c>
      <c r="D1039" s="49" t="inlineStr">
        <is>
          <t>Árabe</t>
        </is>
      </c>
      <c r="E1039" s="50" t="n">
        <v>18.24</v>
      </c>
      <c r="F1039" s="51">
        <f>E1039*$B$5*(1+$B$6)</f>
        <v>23712</v>
      </c>
      <c r="G1039" s="51">
        <f>F1039*$B$7</f>
        <v>59280</v>
      </c>
      <c r="H1039" s="51">
        <f>G1039-F1039</f>
        <v>35568</v>
      </c>
      <c r="I1039" s="52">
        <f>H1039/G1039</f>
        <v>0.6</v>
      </c>
      <c r="J1039" s="53" t="n"/>
      <c r="K1039" s="54" t="n"/>
    </row>
    <row r="1040">
      <c r="A1040" s="39" t="inlineStr">
        <is>
          <t>Lattafa</t>
        </is>
      </c>
      <c r="B1040" s="47" t="inlineStr">
        <is>
          <t>LATTAFA BADEE AL OUD SUBLIME (RED) EDP 100ML</t>
        </is>
      </c>
      <c r="C1040" s="48" t="n">
        <v>100</v>
      </c>
      <c r="D1040" s="49" t="inlineStr">
        <is>
          <t>Árabe</t>
        </is>
      </c>
      <c r="E1040" s="50" t="n">
        <v>17.25</v>
      </c>
      <c r="F1040" s="51">
        <f>E1040*$B$5*(1+$B$6)</f>
        <v>22425</v>
      </c>
      <c r="G1040" s="51">
        <f>F1040*$B$7</f>
        <v>56062.5</v>
      </c>
      <c r="H1040" s="51">
        <f>G1040-F1040</f>
        <v>33637.5</v>
      </c>
      <c r="I1040" s="52">
        <f>H1040/G1040</f>
        <v>0.6</v>
      </c>
      <c r="J1040" s="53" t="n"/>
      <c r="K1040" s="54" t="n"/>
    </row>
    <row r="1041">
      <c r="A1041" s="39" t="inlineStr">
        <is>
          <t>Lattafa</t>
        </is>
      </c>
      <c r="B1041" s="47" t="inlineStr">
        <is>
          <t>LATTAFA BAYAAN EDP 100ML FEM</t>
        </is>
      </c>
      <c r="C1041" s="48" t="n">
        <v>100</v>
      </c>
      <c r="D1041" s="49" t="inlineStr">
        <is>
          <t>Árabe</t>
        </is>
      </c>
      <c r="E1041" s="50" t="n">
        <v>9.9</v>
      </c>
      <c r="F1041" s="51">
        <f>E1041*$B$5*(1+$B$6)</f>
        <v>12870</v>
      </c>
      <c r="G1041" s="51">
        <f>F1041*$B$7</f>
        <v>32175</v>
      </c>
      <c r="H1041" s="51">
        <f>G1041-F1041</f>
        <v>19305</v>
      </c>
      <c r="I1041" s="52">
        <f>H1041/G1041</f>
        <v>0.6</v>
      </c>
      <c r="J1041" s="53" t="n"/>
      <c r="K1041" s="54" t="n"/>
    </row>
    <row r="1042">
      <c r="A1042" s="39" t="inlineStr">
        <is>
          <t>Lattafa</t>
        </is>
      </c>
      <c r="B1042" s="47" t="inlineStr">
        <is>
          <t>LATTAFA DALAL EDP 100ML</t>
        </is>
      </c>
      <c r="C1042" s="48" t="n">
        <v>100</v>
      </c>
      <c r="D1042" s="49" t="inlineStr">
        <is>
          <t>Árabe</t>
        </is>
      </c>
      <c r="E1042" s="50" t="n">
        <v>32</v>
      </c>
      <c r="F1042" s="51">
        <f>E1042*$B$5*(1+$B$6)</f>
        <v>41600</v>
      </c>
      <c r="G1042" s="51">
        <f>F1042*$B$7</f>
        <v>104000</v>
      </c>
      <c r="H1042" s="51">
        <f>G1042-F1042</f>
        <v>62400</v>
      </c>
      <c r="I1042" s="52">
        <f>H1042/G1042</f>
        <v>0.6</v>
      </c>
      <c r="J1042" s="53" t="n"/>
      <c r="K1042" s="54" t="n"/>
    </row>
    <row r="1043">
      <c r="A1043" s="39" t="inlineStr">
        <is>
          <t>Lattafa</t>
        </is>
      </c>
      <c r="B1043" s="47" t="inlineStr">
        <is>
          <t>LATTAFA DYNASTY EDP 100ML</t>
        </is>
      </c>
      <c r="C1043" s="48" t="n">
        <v>100</v>
      </c>
      <c r="D1043" s="49" t="inlineStr">
        <is>
          <t>Árabe</t>
        </is>
      </c>
      <c r="E1043" s="50" t="n">
        <v>18.99</v>
      </c>
      <c r="F1043" s="51">
        <f>E1043*$B$5*(1+$B$6)</f>
        <v>24687</v>
      </c>
      <c r="G1043" s="51">
        <f>F1043*$B$7</f>
        <v>61717.5</v>
      </c>
      <c r="H1043" s="51">
        <f>G1043-F1043</f>
        <v>37030.5</v>
      </c>
      <c r="I1043" s="52">
        <f>H1043/G1043</f>
        <v>0.6</v>
      </c>
      <c r="J1043" s="53" t="n"/>
      <c r="K1043" s="54" t="n"/>
    </row>
    <row r="1044">
      <c r="A1044" s="39" t="inlineStr">
        <is>
          <t>Lattafa</t>
        </is>
      </c>
      <c r="B1044" s="47" t="inlineStr">
        <is>
          <t>LATTAFA ECLAIRE BANOFFI EDP 100ML</t>
        </is>
      </c>
      <c r="C1044" s="48" t="n">
        <v>100</v>
      </c>
      <c r="D1044" s="49" t="inlineStr">
        <is>
          <t>Árabe</t>
        </is>
      </c>
      <c r="E1044" s="50" t="n">
        <v>24.75</v>
      </c>
      <c r="F1044" s="51">
        <f>E1044*$B$5*(1+$B$6)</f>
        <v>32175</v>
      </c>
      <c r="G1044" s="51">
        <f>F1044*$B$7</f>
        <v>80437.5</v>
      </c>
      <c r="H1044" s="51">
        <f>G1044-F1044</f>
        <v>48262.5</v>
      </c>
      <c r="I1044" s="52">
        <f>H1044/G1044</f>
        <v>0.6</v>
      </c>
      <c r="J1044" s="53" t="n"/>
      <c r="K1044" s="54" t="n"/>
    </row>
    <row r="1045">
      <c r="A1045" s="39" t="inlineStr">
        <is>
          <t>Lattafa</t>
        </is>
      </c>
      <c r="B1045" s="47" t="inlineStr">
        <is>
          <t>LATTAFA ECLAIRE PISTACHE EDP 100ML</t>
        </is>
      </c>
      <c r="C1045" s="48" t="n">
        <v>100</v>
      </c>
      <c r="D1045" s="49" t="inlineStr">
        <is>
          <t>Árabe</t>
        </is>
      </c>
      <c r="E1045" s="50" t="n">
        <v>24.75</v>
      </c>
      <c r="F1045" s="51">
        <f>E1045*$B$5*(1+$B$6)</f>
        <v>32175</v>
      </c>
      <c r="G1045" s="51">
        <f>F1045*$B$7</f>
        <v>80437.5</v>
      </c>
      <c r="H1045" s="51">
        <f>G1045-F1045</f>
        <v>48262.5</v>
      </c>
      <c r="I1045" s="52">
        <f>H1045/G1045</f>
        <v>0.6</v>
      </c>
      <c r="J1045" s="53" t="n"/>
      <c r="K1045" s="54" t="n"/>
    </row>
    <row r="1046">
      <c r="A1046" s="39" t="inlineStr">
        <is>
          <t>Lattafa</t>
        </is>
      </c>
      <c r="B1046" s="47" t="inlineStr">
        <is>
          <t>LATTAFA EJAAZI EDP 100ML</t>
        </is>
      </c>
      <c r="C1046" s="48" t="n">
        <v>100</v>
      </c>
      <c r="D1046" s="49" t="inlineStr">
        <is>
          <t>Árabe</t>
        </is>
      </c>
      <c r="E1046" s="50" t="n">
        <v>9.699999999999999</v>
      </c>
      <c r="F1046" s="51">
        <f>E1046*$B$5*(1+$B$6)</f>
        <v>12610</v>
      </c>
      <c r="G1046" s="51">
        <f>F1046*$B$7</f>
        <v>31525</v>
      </c>
      <c r="H1046" s="51">
        <f>G1046-F1046</f>
        <v>18915</v>
      </c>
      <c r="I1046" s="52">
        <f>H1046/G1046</f>
        <v>0.6</v>
      </c>
      <c r="J1046" s="53" t="n"/>
      <c r="K1046" s="54" t="n"/>
    </row>
    <row r="1047">
      <c r="A1047" s="39" t="inlineStr">
        <is>
          <t>Lattafa</t>
        </is>
      </c>
      <c r="B1047" s="47" t="inlineStr">
        <is>
          <t>LATTAFA EMEER EDP 100ML</t>
        </is>
      </c>
      <c r="C1047" s="48" t="n">
        <v>100</v>
      </c>
      <c r="D1047" s="49" t="inlineStr">
        <is>
          <t>Árabe</t>
        </is>
      </c>
      <c r="E1047" s="50" t="n">
        <v>29.45</v>
      </c>
      <c r="F1047" s="51">
        <f>E1047*$B$5*(1+$B$6)</f>
        <v>38285</v>
      </c>
      <c r="G1047" s="51">
        <f>F1047*$B$7</f>
        <v>95712.5</v>
      </c>
      <c r="H1047" s="51">
        <f>G1047-F1047</f>
        <v>57427.5</v>
      </c>
      <c r="I1047" s="52">
        <f>H1047/G1047</f>
        <v>0.6</v>
      </c>
      <c r="J1047" s="53" t="n"/>
      <c r="K1047" s="54" t="n"/>
    </row>
    <row r="1048">
      <c r="A1048" s="39" t="inlineStr">
        <is>
          <t>Lattafa</t>
        </is>
      </c>
      <c r="B1048" s="47" t="inlineStr">
        <is>
          <t>LATTAFA FAKHAR (PRETO) EDP 100ML MASC</t>
        </is>
      </c>
      <c r="C1048" s="48" t="n">
        <v>100</v>
      </c>
      <c r="D1048" s="49" t="inlineStr">
        <is>
          <t>Árabe</t>
        </is>
      </c>
      <c r="E1048" s="50" t="n">
        <v>18.99</v>
      </c>
      <c r="F1048" s="51">
        <f>E1048*$B$5*(1+$B$6)</f>
        <v>24687</v>
      </c>
      <c r="G1048" s="51">
        <f>F1048*$B$7</f>
        <v>61717.5</v>
      </c>
      <c r="H1048" s="51">
        <f>G1048-F1048</f>
        <v>37030.5</v>
      </c>
      <c r="I1048" s="52">
        <f>H1048/G1048</f>
        <v>0.6</v>
      </c>
      <c r="J1048" s="53" t="n"/>
      <c r="K1048" s="54" t="n"/>
    </row>
    <row r="1049">
      <c r="A1049" s="39" t="inlineStr">
        <is>
          <t>Lattafa</t>
        </is>
      </c>
      <c r="B1049" s="47" t="inlineStr">
        <is>
          <t>LATTAFA FAKHAR EXTRAIT (GOLD) EDP 100ML</t>
        </is>
      </c>
      <c r="C1049" s="48" t="n">
        <v>100</v>
      </c>
      <c r="D1049" s="49" t="inlineStr">
        <is>
          <t>Árabe</t>
        </is>
      </c>
      <c r="E1049" s="50" t="n">
        <v>16.5</v>
      </c>
      <c r="F1049" s="51">
        <f>E1049*$B$5*(1+$B$6)</f>
        <v>21450</v>
      </c>
      <c r="G1049" s="51">
        <f>F1049*$B$7</f>
        <v>53625</v>
      </c>
      <c r="H1049" s="51">
        <f>G1049-F1049</f>
        <v>32175</v>
      </c>
      <c r="I1049" s="52">
        <f>H1049/G1049</f>
        <v>0.6</v>
      </c>
      <c r="J1049" s="53" t="n"/>
      <c r="K1049" s="54" t="n"/>
    </row>
    <row r="1050">
      <c r="A1050" s="39" t="inlineStr">
        <is>
          <t>Lattafa</t>
        </is>
      </c>
      <c r="B1050" s="47" t="inlineStr">
        <is>
          <t>LATTAFA FAKHAR PLATIN EDP 100ML</t>
        </is>
      </c>
      <c r="C1050" s="48" t="n">
        <v>100</v>
      </c>
      <c r="D1050" s="49" t="inlineStr">
        <is>
          <t>Árabe</t>
        </is>
      </c>
      <c r="E1050" s="50" t="n">
        <v>17.65</v>
      </c>
      <c r="F1050" s="51">
        <f>E1050*$B$5*(1+$B$6)</f>
        <v>22945</v>
      </c>
      <c r="G1050" s="51">
        <f>F1050*$B$7</f>
        <v>57362.5</v>
      </c>
      <c r="H1050" s="51">
        <f>G1050-F1050</f>
        <v>34417.5</v>
      </c>
      <c r="I1050" s="52">
        <f>H1050/G1050</f>
        <v>0.6</v>
      </c>
      <c r="J1050" s="53" t="n"/>
      <c r="K1050" s="54" t="n"/>
    </row>
    <row r="1051">
      <c r="A1051" s="39" t="inlineStr">
        <is>
          <t>Lattafa</t>
        </is>
      </c>
      <c r="B1051" s="47" t="inlineStr">
        <is>
          <t>LATTAFA FAKHAR ROSE GOLD EDP 100ML FEM</t>
        </is>
      </c>
      <c r="C1051" s="48" t="n">
        <v>100</v>
      </c>
      <c r="D1051" s="49" t="inlineStr">
        <is>
          <t>Árabe</t>
        </is>
      </c>
      <c r="E1051" s="50" t="n">
        <v>23</v>
      </c>
      <c r="F1051" s="51">
        <f>E1051*$B$5*(1+$B$6)</f>
        <v>29900</v>
      </c>
      <c r="G1051" s="51">
        <f>F1051*$B$7</f>
        <v>74750</v>
      </c>
      <c r="H1051" s="51">
        <f>G1051-F1051</f>
        <v>44850</v>
      </c>
      <c r="I1051" s="52">
        <f>H1051/G1051</f>
        <v>0.6</v>
      </c>
      <c r="J1051" s="53" t="n"/>
      <c r="K1051" s="54" t="n"/>
    </row>
    <row r="1052">
      <c r="A1052" s="39" t="inlineStr">
        <is>
          <t>Lattafa</t>
        </is>
      </c>
      <c r="B1052" s="47" t="inlineStr">
        <is>
          <t>LATTAFA FIRE ON ICE EDP 110ML</t>
        </is>
      </c>
      <c r="C1052" s="48" t="n">
        <v>110</v>
      </c>
      <c r="D1052" s="49" t="inlineStr">
        <is>
          <t>Árabe</t>
        </is>
      </c>
      <c r="E1052" s="50" t="n">
        <v>21.25</v>
      </c>
      <c r="F1052" s="51">
        <f>E1052*$B$5*(1+$B$6)</f>
        <v>27625</v>
      </c>
      <c r="G1052" s="51">
        <f>F1052*$B$7</f>
        <v>69062.5</v>
      </c>
      <c r="H1052" s="51">
        <f>G1052-F1052</f>
        <v>41437.5</v>
      </c>
      <c r="I1052" s="52">
        <f>H1052/G1052</f>
        <v>0.6</v>
      </c>
      <c r="J1052" s="53" t="n"/>
      <c r="K1052" s="54" t="n"/>
    </row>
    <row r="1053">
      <c r="A1053" s="39" t="inlineStr">
        <is>
          <t>Lattafa</t>
        </is>
      </c>
      <c r="B1053" s="47" t="inlineStr">
        <is>
          <t>LATTAFA HABIK EDP (PINK) 100ML FEM</t>
        </is>
      </c>
      <c r="C1053" s="48" t="n">
        <v>100</v>
      </c>
      <c r="D1053" s="49" t="inlineStr">
        <is>
          <t>Árabe</t>
        </is>
      </c>
      <c r="E1053" s="50" t="n">
        <v>21.75</v>
      </c>
      <c r="F1053" s="51">
        <f>E1053*$B$5*(1+$B$6)</f>
        <v>28275</v>
      </c>
      <c r="G1053" s="51">
        <f>F1053*$B$7</f>
        <v>70687.5</v>
      </c>
      <c r="H1053" s="51">
        <f>G1053-F1053</f>
        <v>42412.5</v>
      </c>
      <c r="I1053" s="52">
        <f>H1053/G1053</f>
        <v>0.6</v>
      </c>
      <c r="J1053" s="53" t="n"/>
      <c r="K1053" s="54" t="n"/>
    </row>
    <row r="1054">
      <c r="A1054" s="39" t="inlineStr">
        <is>
          <t>Lattafa</t>
        </is>
      </c>
      <c r="B1054" s="47" t="inlineStr">
        <is>
          <t>LATTAFA HABIK EDP (PURPLE) 100ML MASC</t>
        </is>
      </c>
      <c r="C1054" s="48" t="n">
        <v>100</v>
      </c>
      <c r="D1054" s="49" t="inlineStr">
        <is>
          <t>Árabe</t>
        </is>
      </c>
      <c r="E1054" s="50" t="n">
        <v>17.65</v>
      </c>
      <c r="F1054" s="51">
        <f>E1054*$B$5*(1+$B$6)</f>
        <v>22945</v>
      </c>
      <c r="G1054" s="51">
        <f>F1054*$B$7</f>
        <v>57362.5</v>
      </c>
      <c r="H1054" s="51">
        <f>G1054-F1054</f>
        <v>34417.5</v>
      </c>
      <c r="I1054" s="52">
        <f>H1054/G1054</f>
        <v>0.6</v>
      </c>
      <c r="J1054" s="53" t="n"/>
      <c r="K1054" s="54" t="n"/>
    </row>
    <row r="1055">
      <c r="A1055" s="39" t="inlineStr">
        <is>
          <t>Lattafa</t>
        </is>
      </c>
      <c r="B1055" s="47" t="inlineStr">
        <is>
          <t>LATTAFA HAYAATI (BLACK) EDP 100ML</t>
        </is>
      </c>
      <c r="C1055" s="48" t="n">
        <v>100</v>
      </c>
      <c r="D1055" s="49" t="inlineStr">
        <is>
          <t>Árabe</t>
        </is>
      </c>
      <c r="E1055" s="50" t="n">
        <v>10.75</v>
      </c>
      <c r="F1055" s="51">
        <f>E1055*$B$5*(1+$B$6)</f>
        <v>13975</v>
      </c>
      <c r="G1055" s="51">
        <f>F1055*$B$7</f>
        <v>34937.5</v>
      </c>
      <c r="H1055" s="51">
        <f>G1055-F1055</f>
        <v>20962.5</v>
      </c>
      <c r="I1055" s="52">
        <f>H1055/G1055</f>
        <v>0.6</v>
      </c>
      <c r="J1055" s="53" t="n"/>
      <c r="K1055" s="54" t="n"/>
    </row>
    <row r="1056">
      <c r="A1056" s="39" t="inlineStr">
        <is>
          <t>Lattafa</t>
        </is>
      </c>
      <c r="B1056" s="47" t="inlineStr">
        <is>
          <t>LATTAFA HAYAATI GOLD ELIXIR EDP 100ML</t>
        </is>
      </c>
      <c r="C1056" s="48" t="n">
        <v>100</v>
      </c>
      <c r="D1056" s="49" t="inlineStr">
        <is>
          <t>Árabe</t>
        </is>
      </c>
      <c r="E1056" s="50" t="n">
        <v>10.75</v>
      </c>
      <c r="F1056" s="51">
        <f>E1056*$B$5*(1+$B$6)</f>
        <v>13975</v>
      </c>
      <c r="G1056" s="51">
        <f>F1056*$B$7</f>
        <v>34937.5</v>
      </c>
      <c r="H1056" s="51">
        <f>G1056-F1056</f>
        <v>20962.5</v>
      </c>
      <c r="I1056" s="52">
        <f>H1056/G1056</f>
        <v>0.6</v>
      </c>
      <c r="J1056" s="53" t="n"/>
      <c r="K1056" s="54" t="n"/>
    </row>
    <row r="1057">
      <c r="A1057" s="39" t="inlineStr">
        <is>
          <t>Lattafa</t>
        </is>
      </c>
      <c r="B1057" s="47" t="inlineStr">
        <is>
          <t>LATTAFA HER CONFESSION (WHITE) EDP 100ML</t>
        </is>
      </c>
      <c r="C1057" s="48" t="n">
        <v>100</v>
      </c>
      <c r="D1057" s="49" t="inlineStr">
        <is>
          <t>Árabe</t>
        </is>
      </c>
      <c r="E1057" s="50" t="n">
        <v>23.75</v>
      </c>
      <c r="F1057" s="51">
        <f>E1057*$B$5*(1+$B$6)</f>
        <v>30875</v>
      </c>
      <c r="G1057" s="51">
        <f>F1057*$B$7</f>
        <v>77187.5</v>
      </c>
      <c r="H1057" s="51">
        <f>G1057-F1057</f>
        <v>46312.5</v>
      </c>
      <c r="I1057" s="52">
        <f>H1057/G1057</f>
        <v>0.6</v>
      </c>
      <c r="J1057" s="53" t="n"/>
      <c r="K1057" s="54" t="n"/>
    </row>
    <row r="1058">
      <c r="A1058" s="39" t="inlineStr">
        <is>
          <t>Lattafa</t>
        </is>
      </c>
      <c r="B1058" s="47" t="inlineStr">
        <is>
          <t>LATTAFA HIS CONFESSION (BLACK) EDP 100ML</t>
        </is>
      </c>
      <c r="C1058" s="48" t="n">
        <v>100</v>
      </c>
      <c r="D1058" s="49" t="inlineStr">
        <is>
          <t>Árabe</t>
        </is>
      </c>
      <c r="E1058" s="50" t="n">
        <v>23.75</v>
      </c>
      <c r="F1058" s="51">
        <f>E1058*$B$5*(1+$B$6)</f>
        <v>30875</v>
      </c>
      <c r="G1058" s="51">
        <f>F1058*$B$7</f>
        <v>77187.5</v>
      </c>
      <c r="H1058" s="51">
        <f>G1058-F1058</f>
        <v>46312.5</v>
      </c>
      <c r="I1058" s="52">
        <f>H1058/G1058</f>
        <v>0.6</v>
      </c>
      <c r="J1058" s="53" t="n"/>
      <c r="K1058" s="54" t="n"/>
    </row>
    <row r="1059">
      <c r="A1059" s="39" t="inlineStr">
        <is>
          <t>Lattafa</t>
        </is>
      </c>
      <c r="B1059" s="47" t="inlineStr">
        <is>
          <t>LATTAFA JASOOR EDP 100ML</t>
        </is>
      </c>
      <c r="C1059" s="48" t="n">
        <v>100</v>
      </c>
      <c r="D1059" s="49" t="inlineStr">
        <is>
          <t>Árabe</t>
        </is>
      </c>
      <c r="E1059" s="50" t="n">
        <v>18.99</v>
      </c>
      <c r="F1059" s="51">
        <f>E1059*$B$5*(1+$B$6)</f>
        <v>24687</v>
      </c>
      <c r="G1059" s="51">
        <f>F1059*$B$7</f>
        <v>61717.5</v>
      </c>
      <c r="H1059" s="51">
        <f>G1059-F1059</f>
        <v>37030.5</v>
      </c>
      <c r="I1059" s="52">
        <f>H1059/G1059</f>
        <v>0.6</v>
      </c>
      <c r="J1059" s="53" t="n"/>
      <c r="K1059" s="54" t="n"/>
    </row>
    <row r="1060">
      <c r="A1060" s="39" t="inlineStr">
        <is>
          <t>Lattafa</t>
        </is>
      </c>
      <c r="B1060" s="47" t="inlineStr">
        <is>
          <t>LATTAFA KHALTAAT AL ARABIA ROYAL DELIGHT EDP 100ML</t>
        </is>
      </c>
      <c r="C1060" s="48" t="n">
        <v>100</v>
      </c>
      <c r="D1060" s="49" t="inlineStr">
        <is>
          <t>Árabe</t>
        </is>
      </c>
      <c r="E1060" s="50" t="n">
        <v>9.5</v>
      </c>
      <c r="F1060" s="51">
        <f>E1060*$B$5*(1+$B$6)</f>
        <v>12350</v>
      </c>
      <c r="G1060" s="51">
        <f>F1060*$B$7</f>
        <v>30875</v>
      </c>
      <c r="H1060" s="51">
        <f>G1060-F1060</f>
        <v>18525</v>
      </c>
      <c r="I1060" s="52">
        <f>H1060/G1060</f>
        <v>0.6</v>
      </c>
      <c r="J1060" s="53" t="n"/>
      <c r="K1060" s="54" t="n"/>
    </row>
    <row r="1061">
      <c r="A1061" s="39" t="inlineStr">
        <is>
          <t>Lattafa</t>
        </is>
      </c>
      <c r="B1061" s="47" t="inlineStr">
        <is>
          <t>LATTAFA KHAMRAH (BLACK) EDP 100ML</t>
        </is>
      </c>
      <c r="C1061" s="48" t="n">
        <v>100</v>
      </c>
      <c r="D1061" s="49" t="inlineStr">
        <is>
          <t>Árabe</t>
        </is>
      </c>
      <c r="E1061" s="50" t="n">
        <v>19.45</v>
      </c>
      <c r="F1061" s="51">
        <f>E1061*$B$5*(1+$B$6)</f>
        <v>25285</v>
      </c>
      <c r="G1061" s="51">
        <f>F1061*$B$7</f>
        <v>63212.5</v>
      </c>
      <c r="H1061" s="51">
        <f>G1061-F1061</f>
        <v>37927.5</v>
      </c>
      <c r="I1061" s="52">
        <f>H1061/G1061</f>
        <v>0.6</v>
      </c>
      <c r="J1061" s="53" t="n"/>
      <c r="K1061" s="54" t="n"/>
    </row>
    <row r="1062">
      <c r="A1062" s="39" t="inlineStr">
        <is>
          <t>Lattafa</t>
        </is>
      </c>
      <c r="B1062" s="47" t="inlineStr">
        <is>
          <t>LATTAFA KHAMRAH DUKHAN EDP 100ML (RED)</t>
        </is>
      </c>
      <c r="C1062" s="48" t="n">
        <v>100</v>
      </c>
      <c r="D1062" s="49" t="inlineStr">
        <is>
          <t>Árabe</t>
        </is>
      </c>
      <c r="E1062" s="50" t="n">
        <v>19.5</v>
      </c>
      <c r="F1062" s="51">
        <f>E1062*$B$5*(1+$B$6)</f>
        <v>25350</v>
      </c>
      <c r="G1062" s="51">
        <f>F1062*$B$7</f>
        <v>63375</v>
      </c>
      <c r="H1062" s="51">
        <f>G1062-F1062</f>
        <v>38025</v>
      </c>
      <c r="I1062" s="52">
        <f>H1062/G1062</f>
        <v>0.6</v>
      </c>
      <c r="J1062" s="53" t="n"/>
      <c r="K1062" s="54" t="n"/>
    </row>
    <row r="1063">
      <c r="A1063" s="39" t="inlineStr">
        <is>
          <t>Lattafa</t>
        </is>
      </c>
      <c r="B1063" s="47" t="inlineStr">
        <is>
          <t>LATTAFA KHAMRAH QAHWA EDP 100ML</t>
        </is>
      </c>
      <c r="C1063" s="48" t="n">
        <v>100</v>
      </c>
      <c r="D1063" s="49" t="inlineStr">
        <is>
          <t>Árabe</t>
        </is>
      </c>
      <c r="E1063" s="50" t="n">
        <v>19.45</v>
      </c>
      <c r="F1063" s="51">
        <f>E1063*$B$5*(1+$B$6)</f>
        <v>25285</v>
      </c>
      <c r="G1063" s="51">
        <f>F1063*$B$7</f>
        <v>63212.5</v>
      </c>
      <c r="H1063" s="51">
        <f>G1063-F1063</f>
        <v>37927.5</v>
      </c>
      <c r="I1063" s="52">
        <f>H1063/G1063</f>
        <v>0.6</v>
      </c>
      <c r="J1063" s="53" t="n"/>
      <c r="K1063" s="54" t="n"/>
    </row>
    <row r="1064">
      <c r="A1064" s="39" t="inlineStr">
        <is>
          <t>Lattafa</t>
        </is>
      </c>
      <c r="B1064" s="47" t="inlineStr">
        <is>
          <t>LATTAFA KIDS HAPPY BRUSH EDP 75ML</t>
        </is>
      </c>
      <c r="C1064" s="48" t="n">
        <v>75</v>
      </c>
      <c r="D1064" s="49" t="inlineStr">
        <is>
          <t>Árabe</t>
        </is>
      </c>
      <c r="E1064" s="50" t="n">
        <v>9.5</v>
      </c>
      <c r="F1064" s="51">
        <f>E1064*$B$5*(1+$B$6)</f>
        <v>12350</v>
      </c>
      <c r="G1064" s="51">
        <f>F1064*$B$7</f>
        <v>30875</v>
      </c>
      <c r="H1064" s="51">
        <f>G1064-F1064</f>
        <v>18525</v>
      </c>
      <c r="I1064" s="52">
        <f>H1064/G1064</f>
        <v>0.6</v>
      </c>
      <c r="J1064" s="53" t="n"/>
      <c r="K1064" s="54" t="n"/>
    </row>
    <row r="1065">
      <c r="A1065" s="39" t="inlineStr">
        <is>
          <t>Lattafa</t>
        </is>
      </c>
      <c r="B1065" s="47" t="inlineStr">
        <is>
          <t>LATTAFA KIDS HAPPY TIME EDP 75ML</t>
        </is>
      </c>
      <c r="C1065" s="48" t="n">
        <v>75</v>
      </c>
      <c r="D1065" s="49" t="inlineStr">
        <is>
          <t>Árabe</t>
        </is>
      </c>
      <c r="E1065" s="50" t="n">
        <v>9.9</v>
      </c>
      <c r="F1065" s="51">
        <f>E1065*$B$5*(1+$B$6)</f>
        <v>12870</v>
      </c>
      <c r="G1065" s="51">
        <f>F1065*$B$7</f>
        <v>32175</v>
      </c>
      <c r="H1065" s="51">
        <f>G1065-F1065</f>
        <v>19305</v>
      </c>
      <c r="I1065" s="52">
        <f>H1065/G1065</f>
        <v>0.6</v>
      </c>
      <c r="J1065" s="53" t="n"/>
      <c r="K1065" s="54" t="n"/>
    </row>
    <row r="1066">
      <c r="A1066" s="39" t="inlineStr">
        <is>
          <t>Lattafa</t>
        </is>
      </c>
      <c r="B1066" s="47" t="inlineStr">
        <is>
          <t>LATTAFA KIDS PLAY EDP 75ML</t>
        </is>
      </c>
      <c r="C1066" s="48" t="n">
        <v>75</v>
      </c>
      <c r="D1066" s="49" t="inlineStr">
        <is>
          <t>Árabe</t>
        </is>
      </c>
      <c r="E1066" s="50" t="n">
        <v>9.9</v>
      </c>
      <c r="F1066" s="51">
        <f>E1066*$B$5*(1+$B$6)</f>
        <v>12870</v>
      </c>
      <c r="G1066" s="51">
        <f>F1066*$B$7</f>
        <v>32175</v>
      </c>
      <c r="H1066" s="51">
        <f>G1066-F1066</f>
        <v>19305</v>
      </c>
      <c r="I1066" s="52">
        <f>H1066/G1066</f>
        <v>0.6</v>
      </c>
      <c r="J1066" s="53" t="n"/>
      <c r="K1066" s="54" t="n"/>
    </row>
    <row r="1067">
      <c r="A1067" s="39" t="inlineStr">
        <is>
          <t>Lattafa</t>
        </is>
      </c>
      <c r="B1067" s="47" t="inlineStr">
        <is>
          <t>LATTAFA KIDS RIDERS EDP 75ML</t>
        </is>
      </c>
      <c r="C1067" s="48" t="n">
        <v>75</v>
      </c>
      <c r="D1067" s="49" t="inlineStr">
        <is>
          <t>Árabe</t>
        </is>
      </c>
      <c r="E1067" s="50" t="n">
        <v>9.9</v>
      </c>
      <c r="F1067" s="51">
        <f>E1067*$B$5*(1+$B$6)</f>
        <v>12870</v>
      </c>
      <c r="G1067" s="51">
        <f>F1067*$B$7</f>
        <v>32175</v>
      </c>
      <c r="H1067" s="51">
        <f>G1067-F1067</f>
        <v>19305</v>
      </c>
      <c r="I1067" s="52">
        <f>H1067/G1067</f>
        <v>0.6</v>
      </c>
      <c r="J1067" s="53" t="n"/>
      <c r="K1067" s="54" t="n"/>
    </row>
    <row r="1068">
      <c r="A1068" s="39" t="inlineStr">
        <is>
          <t>Lattafa</t>
        </is>
      </c>
      <c r="B1068" s="47" t="inlineStr">
        <is>
          <t>LATTAFA KIDS SING EDP 75ML</t>
        </is>
      </c>
      <c r="C1068" s="48" t="n">
        <v>75</v>
      </c>
      <c r="D1068" s="49" t="inlineStr">
        <is>
          <t>Árabe</t>
        </is>
      </c>
      <c r="E1068" s="50" t="n">
        <v>9.9</v>
      </c>
      <c r="F1068" s="51">
        <f>E1068*$B$5*(1+$B$6)</f>
        <v>12870</v>
      </c>
      <c r="G1068" s="51">
        <f>F1068*$B$7</f>
        <v>32175</v>
      </c>
      <c r="H1068" s="51">
        <f>G1068-F1068</f>
        <v>19305</v>
      </c>
      <c r="I1068" s="52">
        <f>H1068/G1068</f>
        <v>0.6</v>
      </c>
      <c r="J1068" s="53" t="n"/>
      <c r="K1068" s="54" t="n"/>
    </row>
    <row r="1069">
      <c r="A1069" s="39" t="inlineStr">
        <is>
          <t>Lattafa</t>
        </is>
      </c>
      <c r="B1069" s="47" t="inlineStr">
        <is>
          <t>LATTAFA KIDS STOP WAIT GO EDP 75ML</t>
        </is>
      </c>
      <c r="C1069" s="48" t="n">
        <v>75</v>
      </c>
      <c r="D1069" s="49" t="inlineStr">
        <is>
          <t>Árabe</t>
        </is>
      </c>
      <c r="E1069" s="50" t="n">
        <v>9.9</v>
      </c>
      <c r="F1069" s="51">
        <f>E1069*$B$5*(1+$B$6)</f>
        <v>12870</v>
      </c>
      <c r="G1069" s="51">
        <f>F1069*$B$7</f>
        <v>32175</v>
      </c>
      <c r="H1069" s="51">
        <f>G1069-F1069</f>
        <v>19305</v>
      </c>
      <c r="I1069" s="52">
        <f>H1069/G1069</f>
        <v>0.6</v>
      </c>
      <c r="J1069" s="53" t="n"/>
      <c r="K1069" s="54" t="n"/>
    </row>
    <row r="1070">
      <c r="A1070" s="39" t="inlineStr">
        <is>
          <t>Lattafa</t>
        </is>
      </c>
      <c r="B1070" s="47" t="inlineStr">
        <is>
          <t>LATTAFA KING OF ARABIA EDP 100ML</t>
        </is>
      </c>
      <c r="C1070" s="48" t="n">
        <v>100</v>
      </c>
      <c r="D1070" s="49" t="inlineStr">
        <is>
          <t>Árabe</t>
        </is>
      </c>
      <c r="E1070" s="50" t="n">
        <v>23.9</v>
      </c>
      <c r="F1070" s="51">
        <f>E1070*$B$5*(1+$B$6)</f>
        <v>31070</v>
      </c>
      <c r="G1070" s="51">
        <f>F1070*$B$7</f>
        <v>77675</v>
      </c>
      <c r="H1070" s="51">
        <f>G1070-F1070</f>
        <v>46605</v>
      </c>
      <c r="I1070" s="52">
        <f>H1070/G1070</f>
        <v>0.6</v>
      </c>
      <c r="J1070" s="53" t="n"/>
      <c r="K1070" s="54" t="n"/>
    </row>
    <row r="1071">
      <c r="A1071" s="39" t="inlineStr">
        <is>
          <t>Lattafa</t>
        </is>
      </c>
      <c r="B1071" s="47" t="inlineStr">
        <is>
          <t>LATTAFA KIT BADEE AL OUD COLLECTION KIT EDP 4X25ML</t>
        </is>
      </c>
      <c r="C1071" s="48" t="n">
        <v>100</v>
      </c>
      <c r="D1071" s="49" t="inlineStr">
        <is>
          <t>Árabe</t>
        </is>
      </c>
      <c r="E1071" s="50" t="n">
        <v>28</v>
      </c>
      <c r="F1071" s="51">
        <f>E1071*$B$5*(1+$B$6)</f>
        <v>36400</v>
      </c>
      <c r="G1071" s="51">
        <f>F1071*$B$7</f>
        <v>91000</v>
      </c>
      <c r="H1071" s="51">
        <f>G1071-F1071</f>
        <v>54600</v>
      </c>
      <c r="I1071" s="52">
        <f>H1071/G1071</f>
        <v>0.6</v>
      </c>
      <c r="J1071" s="53" t="n"/>
      <c r="K1071" s="54" t="n"/>
    </row>
    <row r="1072">
      <c r="A1072" s="39" t="inlineStr">
        <is>
          <t>Lattafa</t>
        </is>
      </c>
      <c r="B1072" s="47" t="inlineStr">
        <is>
          <t>LATTAFA KIT KING OF ARABIA 3PCS EDP 100ML + 20ML + SPRAY 200ML</t>
        </is>
      </c>
      <c r="C1072" s="48" t="n">
        <v>100</v>
      </c>
      <c r="D1072" s="49" t="inlineStr">
        <is>
          <t>Árabe</t>
        </is>
      </c>
      <c r="E1072" s="50" t="n">
        <v>28.5</v>
      </c>
      <c r="F1072" s="51">
        <f>E1072*$B$5*(1+$B$6)</f>
        <v>37050</v>
      </c>
      <c r="G1072" s="51">
        <f>F1072*$B$7</f>
        <v>92625</v>
      </c>
      <c r="H1072" s="51">
        <f>G1072-F1072</f>
        <v>55575</v>
      </c>
      <c r="I1072" s="52">
        <f>H1072/G1072</f>
        <v>0.6</v>
      </c>
      <c r="J1072" s="53" t="n"/>
      <c r="K1072" s="54" t="n"/>
    </row>
    <row r="1073">
      <c r="A1073" s="39" t="inlineStr">
        <is>
          <t>Lattafa</t>
        </is>
      </c>
      <c r="B1073" s="47" t="inlineStr">
        <is>
          <t>LATTAFA KIT MINI BADEE AL OUD EDP (5PCS X 5ML)</t>
        </is>
      </c>
      <c r="C1073" s="48" t="n">
        <v>5</v>
      </c>
      <c r="D1073" s="49" t="inlineStr">
        <is>
          <t>Árabe</t>
        </is>
      </c>
      <c r="E1073" s="50" t="n">
        <v>12.25</v>
      </c>
      <c r="F1073" s="51">
        <f>E1073*$B$5*(1+$B$6)</f>
        <v>15925</v>
      </c>
      <c r="G1073" s="51">
        <f>F1073*$B$7</f>
        <v>39812.5</v>
      </c>
      <c r="H1073" s="51">
        <f>G1073-F1073</f>
        <v>23887.5</v>
      </c>
      <c r="I1073" s="52">
        <f>H1073/G1073</f>
        <v>0.6</v>
      </c>
      <c r="J1073" s="53" t="n"/>
      <c r="K1073" s="54" t="n"/>
    </row>
    <row r="1074">
      <c r="A1074" s="39" t="inlineStr">
        <is>
          <t>Lattafa</t>
        </is>
      </c>
      <c r="B1074" s="47" t="inlineStr">
        <is>
          <t>LATTAFA KIT MINI YARA COLLECTION EDP (4PCS X 5ML)</t>
        </is>
      </c>
      <c r="C1074" s="48" t="n">
        <v>5</v>
      </c>
      <c r="D1074" s="49" t="inlineStr">
        <is>
          <t>Árabe</t>
        </is>
      </c>
      <c r="E1074" s="50" t="n">
        <v>11.5</v>
      </c>
      <c r="F1074" s="51">
        <f>E1074*$B$5*(1+$B$6)</f>
        <v>14950</v>
      </c>
      <c r="G1074" s="51">
        <f>F1074*$B$7</f>
        <v>37375</v>
      </c>
      <c r="H1074" s="51">
        <f>G1074-F1074</f>
        <v>22425</v>
      </c>
      <c r="I1074" s="52">
        <f>H1074/G1074</f>
        <v>0.6</v>
      </c>
      <c r="J1074" s="53" t="n"/>
      <c r="K1074" s="54" t="n"/>
    </row>
    <row r="1075">
      <c r="A1075" s="39" t="inlineStr">
        <is>
          <t>Lattafa</t>
        </is>
      </c>
      <c r="B1075" s="47" t="inlineStr">
        <is>
          <t>LATTAFA LAIL MALEKI OUD EDP 100ML</t>
        </is>
      </c>
      <c r="C1075" s="48" t="n">
        <v>100</v>
      </c>
      <c r="D1075" s="49" t="inlineStr">
        <is>
          <t>Árabe</t>
        </is>
      </c>
      <c r="E1075" s="50" t="n">
        <v>10.5</v>
      </c>
      <c r="F1075" s="51">
        <f>E1075*$B$5*(1+$B$6)</f>
        <v>13650</v>
      </c>
      <c r="G1075" s="51">
        <f>F1075*$B$7</f>
        <v>34125</v>
      </c>
      <c r="H1075" s="51">
        <f>G1075-F1075</f>
        <v>20475</v>
      </c>
      <c r="I1075" s="52">
        <f>H1075/G1075</f>
        <v>0.6</v>
      </c>
      <c r="J1075" s="53" t="n"/>
      <c r="K1075" s="54" t="n"/>
    </row>
    <row r="1076">
      <c r="A1076" s="39" t="inlineStr">
        <is>
          <t>Lattafa</t>
        </is>
      </c>
      <c r="B1076" s="47" t="inlineStr">
        <is>
          <t>LATTAFA LAYAAN EDP 75ML</t>
        </is>
      </c>
      <c r="C1076" s="48" t="n">
        <v>75</v>
      </c>
      <c r="D1076" s="49" t="inlineStr">
        <is>
          <t>Árabe</t>
        </is>
      </c>
      <c r="E1076" s="50" t="n">
        <v>24.5</v>
      </c>
      <c r="F1076" s="51">
        <f>E1076*$B$5*(1+$B$6)</f>
        <v>31850</v>
      </c>
      <c r="G1076" s="51">
        <f>F1076*$B$7</f>
        <v>79625</v>
      </c>
      <c r="H1076" s="51">
        <f>G1076-F1076</f>
        <v>47775</v>
      </c>
      <c r="I1076" s="52">
        <f>H1076/G1076</f>
        <v>0.6</v>
      </c>
      <c r="J1076" s="53" t="n"/>
      <c r="K1076" s="54" t="n"/>
    </row>
    <row r="1077">
      <c r="A1077" s="39" t="inlineStr">
        <is>
          <t>Lattafa</t>
        </is>
      </c>
      <c r="B1077" s="47" t="inlineStr">
        <is>
          <t>LATTAFA MAAHIR (GOLD) EDP 100ML</t>
        </is>
      </c>
      <c r="C1077" s="48" t="n">
        <v>100</v>
      </c>
      <c r="D1077" s="49" t="inlineStr">
        <is>
          <t>Árabe</t>
        </is>
      </c>
      <c r="E1077" s="50" t="n">
        <v>19.41</v>
      </c>
      <c r="F1077" s="51">
        <f>E1077*$B$5*(1+$B$6)</f>
        <v>25233</v>
      </c>
      <c r="G1077" s="51">
        <f>F1077*$B$7</f>
        <v>63082.5</v>
      </c>
      <c r="H1077" s="51">
        <f>G1077-F1077</f>
        <v>37849.5</v>
      </c>
      <c r="I1077" s="52">
        <f>H1077/G1077</f>
        <v>0.6</v>
      </c>
      <c r="J1077" s="53" t="n"/>
      <c r="K1077" s="54" t="n"/>
    </row>
    <row r="1078">
      <c r="A1078" s="39" t="inlineStr">
        <is>
          <t>Lattafa</t>
        </is>
      </c>
      <c r="B1078" s="47" t="inlineStr">
        <is>
          <t>LATTAFA MAAHIR BLACK EDITION EDP 100ML</t>
        </is>
      </c>
      <c r="C1078" s="48" t="n">
        <v>100</v>
      </c>
      <c r="D1078" s="49" t="inlineStr">
        <is>
          <t>Árabe</t>
        </is>
      </c>
      <c r="E1078" s="50" t="n">
        <v>18.9</v>
      </c>
      <c r="F1078" s="51">
        <f>E1078*$B$5*(1+$B$6)</f>
        <v>24570</v>
      </c>
      <c r="G1078" s="51">
        <f>F1078*$B$7</f>
        <v>61425</v>
      </c>
      <c r="H1078" s="51">
        <f>G1078-F1078</f>
        <v>36855</v>
      </c>
      <c r="I1078" s="52">
        <f>H1078/G1078</f>
        <v>0.6</v>
      </c>
      <c r="J1078" s="53" t="n"/>
      <c r="K1078" s="54" t="n"/>
    </row>
    <row r="1079">
      <c r="A1079" s="39" t="inlineStr">
        <is>
          <t>Lattafa</t>
        </is>
      </c>
      <c r="B1079" s="47" t="inlineStr">
        <is>
          <t>LATTAFA MAAHIR HONOR EDP 100ML (BRANCO)</t>
        </is>
      </c>
      <c r="C1079" s="48" t="n">
        <v>100</v>
      </c>
      <c r="D1079" s="49" t="inlineStr">
        <is>
          <t>Árabe</t>
        </is>
      </c>
      <c r="E1079" s="50" t="n">
        <v>26.5</v>
      </c>
      <c r="F1079" s="51">
        <f>E1079*$B$5*(1+$B$6)</f>
        <v>34450</v>
      </c>
      <c r="G1079" s="51">
        <f>F1079*$B$7</f>
        <v>86125</v>
      </c>
      <c r="H1079" s="51">
        <f>G1079-F1079</f>
        <v>51675</v>
      </c>
      <c r="I1079" s="52">
        <f>H1079/G1079</f>
        <v>0.6</v>
      </c>
      <c r="J1079" s="53" t="n"/>
      <c r="K1079" s="54" t="n"/>
    </row>
    <row r="1080">
      <c r="A1080" s="39" t="inlineStr">
        <is>
          <t>Lattafa</t>
        </is>
      </c>
      <c r="B1080" s="47" t="inlineStr">
        <is>
          <t>LATTAFA MAAHIR LEGACY EDP 100ML</t>
        </is>
      </c>
      <c r="C1080" s="48" t="n">
        <v>100</v>
      </c>
      <c r="D1080" s="49" t="inlineStr">
        <is>
          <t>Árabe</t>
        </is>
      </c>
      <c r="E1080" s="50" t="n">
        <v>19.41</v>
      </c>
      <c r="F1080" s="51">
        <f>E1080*$B$5*(1+$B$6)</f>
        <v>25233</v>
      </c>
      <c r="G1080" s="51">
        <f>F1080*$B$7</f>
        <v>63082.5</v>
      </c>
      <c r="H1080" s="51">
        <f>G1080-F1080</f>
        <v>37849.5</v>
      </c>
      <c r="I1080" s="52">
        <f>H1080/G1080</f>
        <v>0.6</v>
      </c>
      <c r="J1080" s="53" t="n"/>
      <c r="K1080" s="54" t="n"/>
    </row>
    <row r="1081">
      <c r="A1081" s="39" t="inlineStr">
        <is>
          <t>Lattafa</t>
        </is>
      </c>
      <c r="B1081" s="47" t="inlineStr">
        <is>
          <t>LATTAFA MAYAR (PINK) EDP 100ML FEM</t>
        </is>
      </c>
      <c r="C1081" s="48" t="n">
        <v>100</v>
      </c>
      <c r="D1081" s="49" t="inlineStr">
        <is>
          <t>Árabe</t>
        </is>
      </c>
      <c r="E1081" s="50" t="n">
        <v>16.49</v>
      </c>
      <c r="F1081" s="51">
        <f>E1081*$B$5*(1+$B$6)</f>
        <v>21437</v>
      </c>
      <c r="G1081" s="51">
        <f>F1081*$B$7</f>
        <v>53592.5</v>
      </c>
      <c r="H1081" s="51">
        <f>G1081-F1081</f>
        <v>32155.5</v>
      </c>
      <c r="I1081" s="52">
        <f>H1081/G1081</f>
        <v>0.6</v>
      </c>
      <c r="J1081" s="53" t="n"/>
      <c r="K1081" s="54" t="n"/>
    </row>
    <row r="1082">
      <c r="A1082" s="39" t="inlineStr">
        <is>
          <t>Lattafa</t>
        </is>
      </c>
      <c r="B1082" s="47" t="inlineStr">
        <is>
          <t>LATTAFA MAYAR CHERRY INTENSE EDP 100ML</t>
        </is>
      </c>
      <c r="C1082" s="48" t="n">
        <v>100</v>
      </c>
      <c r="D1082" s="49" t="inlineStr">
        <is>
          <t>Árabe</t>
        </is>
      </c>
      <c r="E1082" s="50" t="n">
        <v>16.5</v>
      </c>
      <c r="F1082" s="51">
        <f>E1082*$B$5*(1+$B$6)</f>
        <v>21450</v>
      </c>
      <c r="G1082" s="51">
        <f>F1082*$B$7</f>
        <v>53625</v>
      </c>
      <c r="H1082" s="51">
        <f>G1082-F1082</f>
        <v>32175</v>
      </c>
      <c r="I1082" s="52">
        <f>H1082/G1082</f>
        <v>0.6</v>
      </c>
      <c r="J1082" s="53" t="n"/>
      <c r="K1082" s="54" t="n"/>
    </row>
    <row r="1083">
      <c r="A1083" s="39" t="inlineStr">
        <is>
          <t>Lattafa</t>
        </is>
      </c>
      <c r="B1083" s="47" t="inlineStr">
        <is>
          <t>LATTAFA MAYAR NATURAL INTENSE EDP 100ML</t>
        </is>
      </c>
      <c r="C1083" s="48" t="n">
        <v>100</v>
      </c>
      <c r="D1083" s="49" t="inlineStr">
        <is>
          <t>Árabe</t>
        </is>
      </c>
      <c r="E1083" s="50" t="n">
        <v>16.47</v>
      </c>
      <c r="F1083" s="51">
        <f>E1083*$B$5*(1+$B$6)</f>
        <v>21411</v>
      </c>
      <c r="G1083" s="51">
        <f>F1083*$B$7</f>
        <v>53527.5</v>
      </c>
      <c r="H1083" s="51">
        <f>G1083-F1083</f>
        <v>32116.5</v>
      </c>
      <c r="I1083" s="52">
        <f>H1083/G1083</f>
        <v>0.6</v>
      </c>
      <c r="J1083" s="53" t="n"/>
      <c r="K1083" s="54" t="n"/>
    </row>
    <row r="1084">
      <c r="A1084" s="39" t="inlineStr">
        <is>
          <t>Lattafa</t>
        </is>
      </c>
      <c r="B1084" s="47" t="inlineStr">
        <is>
          <t>LATTAFA MOHRA EDP 100ML</t>
        </is>
      </c>
      <c r="C1084" s="48" t="n">
        <v>100</v>
      </c>
      <c r="D1084" s="49" t="inlineStr">
        <is>
          <t>Árabe</t>
        </is>
      </c>
      <c r="E1084" s="50" t="n">
        <v>10.75</v>
      </c>
      <c r="F1084" s="51">
        <f>E1084*$B$5*(1+$B$6)</f>
        <v>13975</v>
      </c>
      <c r="G1084" s="51">
        <f>F1084*$B$7</f>
        <v>34937.5</v>
      </c>
      <c r="H1084" s="51">
        <f>G1084-F1084</f>
        <v>20962.5</v>
      </c>
      <c r="I1084" s="52">
        <f>H1084/G1084</f>
        <v>0.6</v>
      </c>
      <c r="J1084" s="53" t="n"/>
      <c r="K1084" s="54" t="n"/>
    </row>
    <row r="1085">
      <c r="A1085" s="39" t="inlineStr">
        <is>
          <t>Lattafa</t>
        </is>
      </c>
      <c r="B1085" s="47" t="inlineStr">
        <is>
          <t>LATTAFA MUSAMAM BLACK INTENSE EDP 100ML</t>
        </is>
      </c>
      <c r="C1085" s="48" t="n">
        <v>100</v>
      </c>
      <c r="D1085" s="49" t="inlineStr">
        <is>
          <t>Árabe</t>
        </is>
      </c>
      <c r="E1085" s="50" t="n">
        <v>35.5</v>
      </c>
      <c r="F1085" s="51">
        <f>E1085*$B$5*(1+$B$6)</f>
        <v>46150</v>
      </c>
      <c r="G1085" s="51">
        <f>F1085*$B$7</f>
        <v>115375</v>
      </c>
      <c r="H1085" s="51">
        <f>G1085-F1085</f>
        <v>69225</v>
      </c>
      <c r="I1085" s="52">
        <f>H1085/G1085</f>
        <v>0.6</v>
      </c>
      <c r="J1085" s="53" t="n"/>
      <c r="K1085" s="54" t="n"/>
    </row>
    <row r="1086">
      <c r="A1086" s="39" t="inlineStr">
        <is>
          <t>Lattafa</t>
        </is>
      </c>
      <c r="B1086" s="47" t="inlineStr">
        <is>
          <t>LATTAFA MUSAMAM EDP 100ML</t>
        </is>
      </c>
      <c r="C1086" s="48" t="n">
        <v>100</v>
      </c>
      <c r="D1086" s="49" t="inlineStr">
        <is>
          <t>Árabe</t>
        </is>
      </c>
      <c r="E1086" s="50" t="n">
        <v>20.5</v>
      </c>
      <c r="F1086" s="51">
        <f>E1086*$B$5*(1+$B$6)</f>
        <v>26650</v>
      </c>
      <c r="G1086" s="51">
        <f>F1086*$B$7</f>
        <v>66625</v>
      </c>
      <c r="H1086" s="51">
        <f>G1086-F1086</f>
        <v>39975</v>
      </c>
      <c r="I1086" s="52">
        <f>H1086/G1086</f>
        <v>0.6</v>
      </c>
      <c r="J1086" s="53" t="n"/>
      <c r="K1086" s="54" t="n"/>
    </row>
    <row r="1087">
      <c r="A1087" s="39" t="inlineStr">
        <is>
          <t>Lattafa</t>
        </is>
      </c>
      <c r="B1087" s="47" t="inlineStr">
        <is>
          <t>LATTAFA MUSAMAM WHITE INTENSE EDP 100ML</t>
        </is>
      </c>
      <c r="C1087" s="48" t="n">
        <v>100</v>
      </c>
      <c r="D1087" s="49" t="inlineStr">
        <is>
          <t>Árabe</t>
        </is>
      </c>
      <c r="E1087" s="50" t="n">
        <v>30.75</v>
      </c>
      <c r="F1087" s="51">
        <f>E1087*$B$5*(1+$B$6)</f>
        <v>39975</v>
      </c>
      <c r="G1087" s="51">
        <f>F1087*$B$7</f>
        <v>99937.5</v>
      </c>
      <c r="H1087" s="51">
        <f>G1087-F1087</f>
        <v>59962.5</v>
      </c>
      <c r="I1087" s="52">
        <f>H1087/G1087</f>
        <v>0.6</v>
      </c>
      <c r="J1087" s="53" t="n"/>
      <c r="K1087" s="54" t="n"/>
    </row>
    <row r="1088">
      <c r="A1088" s="39" t="inlineStr">
        <is>
          <t>Lattafa</t>
        </is>
      </c>
      <c r="B1088" s="47" t="inlineStr">
        <is>
          <t>LATTAFA MUSK MOOD 100ML</t>
        </is>
      </c>
      <c r="C1088" s="48" t="n">
        <v>100</v>
      </c>
      <c r="D1088" s="49" t="inlineStr">
        <is>
          <t>Árabe</t>
        </is>
      </c>
      <c r="E1088" s="50" t="n">
        <v>12</v>
      </c>
      <c r="F1088" s="51">
        <f>E1088*$B$5*(1+$B$6)</f>
        <v>15600</v>
      </c>
      <c r="G1088" s="51">
        <f>F1088*$B$7</f>
        <v>39000</v>
      </c>
      <c r="H1088" s="51">
        <f>G1088-F1088</f>
        <v>23400</v>
      </c>
      <c r="I1088" s="52">
        <f>H1088/G1088</f>
        <v>0.6</v>
      </c>
      <c r="J1088" s="53" t="n"/>
      <c r="K1088" s="54" t="n"/>
    </row>
    <row r="1089">
      <c r="A1089" s="39" t="inlineStr">
        <is>
          <t>Lattafa</t>
        </is>
      </c>
      <c r="B1089" s="47" t="inlineStr">
        <is>
          <t>LATTAFA NICHE EMARATI AL JAWHARA EDP 100ML</t>
        </is>
      </c>
      <c r="C1089" s="48" t="n">
        <v>100</v>
      </c>
      <c r="D1089" s="49" t="inlineStr">
        <is>
          <t>Árabe</t>
        </is>
      </c>
      <c r="E1089" s="50" t="n">
        <v>25</v>
      </c>
      <c r="F1089" s="51">
        <f>E1089*$B$5*(1+$B$6)</f>
        <v>32500</v>
      </c>
      <c r="G1089" s="51">
        <f>F1089*$B$7</f>
        <v>81250</v>
      </c>
      <c r="H1089" s="51">
        <f>G1089-F1089</f>
        <v>48750</v>
      </c>
      <c r="I1089" s="52">
        <f>H1089/G1089</f>
        <v>0.6</v>
      </c>
      <c r="J1089" s="53" t="n"/>
      <c r="K1089" s="54" t="n"/>
    </row>
    <row r="1090">
      <c r="A1090" s="39" t="inlineStr">
        <is>
          <t>Lattafa</t>
        </is>
      </c>
      <c r="B1090" s="47" t="inlineStr">
        <is>
          <t>LATTAFA NICHE EMARATI AL NARJIS EDP 100ML</t>
        </is>
      </c>
      <c r="C1090" s="48" t="n">
        <v>100</v>
      </c>
      <c r="D1090" s="49" t="inlineStr">
        <is>
          <t>Árabe</t>
        </is>
      </c>
      <c r="E1090" s="50" t="n">
        <v>28</v>
      </c>
      <c r="F1090" s="51">
        <f>E1090*$B$5*(1+$B$6)</f>
        <v>36400</v>
      </c>
      <c r="G1090" s="51">
        <f>F1090*$B$7</f>
        <v>91000</v>
      </c>
      <c r="H1090" s="51">
        <f>G1090-F1090</f>
        <v>54600</v>
      </c>
      <c r="I1090" s="52">
        <f>H1090/G1090</f>
        <v>0.6</v>
      </c>
      <c r="J1090" s="53" t="n"/>
      <c r="K1090" s="54" t="n"/>
    </row>
    <row r="1091">
      <c r="A1091" s="39" t="inlineStr">
        <is>
          <t>Lattafa</t>
        </is>
      </c>
      <c r="B1091" s="47" t="inlineStr">
        <is>
          <t>LATTAFA NICHE EMARATI GHINWA EDP 100ML</t>
        </is>
      </c>
      <c r="C1091" s="48" t="n">
        <v>100</v>
      </c>
      <c r="D1091" s="49" t="inlineStr">
        <is>
          <t>Árabe</t>
        </is>
      </c>
      <c r="E1091" s="50" t="n">
        <v>25.9</v>
      </c>
      <c r="F1091" s="51">
        <f>E1091*$B$5*(1+$B$6)</f>
        <v>33670</v>
      </c>
      <c r="G1091" s="51">
        <f>F1091*$B$7</f>
        <v>84175</v>
      </c>
      <c r="H1091" s="51">
        <f>G1091-F1091</f>
        <v>50505</v>
      </c>
      <c r="I1091" s="52">
        <f>H1091/G1091</f>
        <v>0.6</v>
      </c>
      <c r="J1091" s="53" t="n"/>
      <c r="K1091" s="54" t="n"/>
    </row>
    <row r="1092">
      <c r="A1092" s="39" t="inlineStr">
        <is>
          <t>Lattafa</t>
        </is>
      </c>
      <c r="B1092" s="47" t="inlineStr">
        <is>
          <t>LATTAFA NICHE EMARATI HAYAAM EDP 100ML</t>
        </is>
      </c>
      <c r="C1092" s="48" t="n">
        <v>100</v>
      </c>
      <c r="D1092" s="49" t="inlineStr">
        <is>
          <t>Árabe</t>
        </is>
      </c>
      <c r="E1092" s="50" t="n">
        <v>25.5</v>
      </c>
      <c r="F1092" s="51">
        <f>E1092*$B$5*(1+$B$6)</f>
        <v>33150</v>
      </c>
      <c r="G1092" s="51">
        <f>F1092*$B$7</f>
        <v>82875</v>
      </c>
      <c r="H1092" s="51">
        <f>G1092-F1092</f>
        <v>49725</v>
      </c>
      <c r="I1092" s="52">
        <f>H1092/G1092</f>
        <v>0.6</v>
      </c>
      <c r="J1092" s="53" t="n"/>
      <c r="K1092" s="54" t="n"/>
    </row>
    <row r="1093">
      <c r="A1093" s="39" t="inlineStr">
        <is>
          <t>Lattafa</t>
        </is>
      </c>
      <c r="B1093" s="47" t="inlineStr">
        <is>
          <t>LATTAFA NICHE EMARATI KHALID EDP 80ML</t>
        </is>
      </c>
      <c r="C1093" s="48" t="n">
        <v>80</v>
      </c>
      <c r="D1093" s="49" t="inlineStr">
        <is>
          <t>Árabe</t>
        </is>
      </c>
      <c r="E1093" s="50" t="n">
        <v>25.5</v>
      </c>
      <c r="F1093" s="51">
        <f>E1093*$B$5*(1+$B$6)</f>
        <v>33150</v>
      </c>
      <c r="G1093" s="51">
        <f>F1093*$B$7</f>
        <v>82875</v>
      </c>
      <c r="H1093" s="51">
        <f>G1093-F1093</f>
        <v>49725</v>
      </c>
      <c r="I1093" s="52">
        <f>H1093/G1093</f>
        <v>0.6</v>
      </c>
      <c r="J1093" s="53" t="n"/>
      <c r="K1093" s="54" t="n"/>
    </row>
    <row r="1094">
      <c r="A1094" s="39" t="inlineStr">
        <is>
          <t>Lattafa</t>
        </is>
      </c>
      <c r="B1094" s="47" t="inlineStr">
        <is>
          <t>LATTAFA NICHE EMARATI KHANJAR EDP 85ML</t>
        </is>
      </c>
      <c r="C1094" s="48" t="n">
        <v>85</v>
      </c>
      <c r="D1094" s="49" t="inlineStr">
        <is>
          <t>Árabe</t>
        </is>
      </c>
      <c r="E1094" s="50" t="n">
        <v>34</v>
      </c>
      <c r="F1094" s="51">
        <f>E1094*$B$5*(1+$B$6)</f>
        <v>44200</v>
      </c>
      <c r="G1094" s="51">
        <f>F1094*$B$7</f>
        <v>110500</v>
      </c>
      <c r="H1094" s="51">
        <f>G1094-F1094</f>
        <v>66300</v>
      </c>
      <c r="I1094" s="52">
        <f>H1094/G1094</f>
        <v>0.6</v>
      </c>
      <c r="J1094" s="53" t="n"/>
      <c r="K1094" s="54" t="n"/>
    </row>
    <row r="1095">
      <c r="A1095" s="39" t="inlineStr">
        <is>
          <t>Lattafa</t>
        </is>
      </c>
      <c r="B1095" s="47" t="inlineStr">
        <is>
          <t>LATTAFA NICHE EMARATI LUJAIN EDP 100ML</t>
        </is>
      </c>
      <c r="C1095" s="48" t="n">
        <v>100</v>
      </c>
      <c r="D1095" s="49" t="inlineStr">
        <is>
          <t>Árabe</t>
        </is>
      </c>
      <c r="E1095" s="50" t="n">
        <v>24</v>
      </c>
      <c r="F1095" s="51">
        <f>E1095*$B$5*(1+$B$6)</f>
        <v>31200</v>
      </c>
      <c r="G1095" s="51">
        <f>F1095*$B$7</f>
        <v>78000</v>
      </c>
      <c r="H1095" s="51">
        <f>G1095-F1095</f>
        <v>46800</v>
      </c>
      <c r="I1095" s="52">
        <f>H1095/G1095</f>
        <v>0.6</v>
      </c>
      <c r="J1095" s="53" t="n"/>
      <c r="K1095" s="54" t="n"/>
    </row>
    <row r="1096">
      <c r="A1096" s="39" t="inlineStr">
        <is>
          <t>Lattafa</t>
        </is>
      </c>
      <c r="B1096" s="47" t="inlineStr">
        <is>
          <t>LATTAFA NICHE EMARATI NADIRA EDP 100ML</t>
        </is>
      </c>
      <c r="C1096" s="48" t="n">
        <v>100</v>
      </c>
      <c r="D1096" s="49" t="inlineStr">
        <is>
          <t>Árabe</t>
        </is>
      </c>
      <c r="E1096" s="50" t="n">
        <v>26</v>
      </c>
      <c r="F1096" s="51">
        <f>E1096*$B$5*(1+$B$6)</f>
        <v>33800</v>
      </c>
      <c r="G1096" s="51">
        <f>F1096*$B$7</f>
        <v>84500</v>
      </c>
      <c r="H1096" s="51">
        <f>G1096-F1096</f>
        <v>50700</v>
      </c>
      <c r="I1096" s="52">
        <f>H1096/G1096</f>
        <v>0.6</v>
      </c>
      <c r="J1096" s="53" t="n"/>
      <c r="K1096" s="54" t="n"/>
    </row>
    <row r="1097">
      <c r="A1097" s="39" t="inlineStr">
        <is>
          <t>Lattafa</t>
        </is>
      </c>
      <c r="B1097" s="47" t="inlineStr">
        <is>
          <t>LATTAFA NICHE EMARATI TOLEEN EDP 80ML</t>
        </is>
      </c>
      <c r="C1097" s="48" t="n">
        <v>80</v>
      </c>
      <c r="D1097" s="49" t="inlineStr">
        <is>
          <t>Árabe</t>
        </is>
      </c>
      <c r="E1097" s="50" t="n">
        <v>26</v>
      </c>
      <c r="F1097" s="51">
        <f>E1097*$B$5*(1+$B$6)</f>
        <v>33800</v>
      </c>
      <c r="G1097" s="51">
        <f>F1097*$B$7</f>
        <v>84500</v>
      </c>
      <c r="H1097" s="51">
        <f>G1097-F1097</f>
        <v>50700</v>
      </c>
      <c r="I1097" s="52">
        <f>H1097/G1097</f>
        <v>0.6</v>
      </c>
      <c r="J1097" s="53" t="n"/>
      <c r="K1097" s="54" t="n"/>
    </row>
    <row r="1098">
      <c r="A1098" s="39" t="inlineStr">
        <is>
          <t>Lattafa</t>
        </is>
      </c>
      <c r="B1098" s="47" t="inlineStr">
        <is>
          <t>LATTAFA NICHE EMARATI VINTAGE CASTLE EDP 100ML</t>
        </is>
      </c>
      <c r="C1098" s="48" t="n">
        <v>100</v>
      </c>
      <c r="D1098" s="49" t="inlineStr">
        <is>
          <t>Árabe</t>
        </is>
      </c>
      <c r="E1098" s="50" t="n">
        <v>25.5</v>
      </c>
      <c r="F1098" s="51">
        <f>E1098*$B$5*(1+$B$6)</f>
        <v>33150</v>
      </c>
      <c r="G1098" s="51">
        <f>F1098*$B$7</f>
        <v>82875</v>
      </c>
      <c r="H1098" s="51">
        <f>G1098-F1098</f>
        <v>49725</v>
      </c>
      <c r="I1098" s="52">
        <f>H1098/G1098</f>
        <v>0.6</v>
      </c>
      <c r="J1098" s="53" t="n"/>
      <c r="K1098" s="54" t="n"/>
    </row>
    <row r="1099">
      <c r="A1099" s="39" t="inlineStr">
        <is>
          <t>Lattafa</t>
        </is>
      </c>
      <c r="B1099" s="47" t="inlineStr">
        <is>
          <t>LATTAFA NICHE EMARATI ZIKRA EDP 100ML</t>
        </is>
      </c>
      <c r="C1099" s="48" t="n">
        <v>100</v>
      </c>
      <c r="D1099" s="49" t="inlineStr">
        <is>
          <t>Árabe</t>
        </is>
      </c>
      <c r="E1099" s="50" t="n">
        <v>25</v>
      </c>
      <c r="F1099" s="51">
        <f>E1099*$B$5*(1+$B$6)</f>
        <v>32500</v>
      </c>
      <c r="G1099" s="51">
        <f>F1099*$B$7</f>
        <v>81250</v>
      </c>
      <c r="H1099" s="51">
        <f>G1099-F1099</f>
        <v>48750</v>
      </c>
      <c r="I1099" s="52">
        <f>H1099/G1099</f>
        <v>0.6</v>
      </c>
      <c r="J1099" s="53" t="n"/>
      <c r="K1099" s="54" t="n"/>
    </row>
    <row r="1100">
      <c r="A1100" s="39" t="inlineStr">
        <is>
          <t>Lattafa</t>
        </is>
      </c>
      <c r="B1100" s="47" t="inlineStr">
        <is>
          <t>LATTAFA OPULENT DUBAI EDP 100ML</t>
        </is>
      </c>
      <c r="C1100" s="48" t="n">
        <v>100</v>
      </c>
      <c r="D1100" s="49" t="inlineStr">
        <is>
          <t>Árabe</t>
        </is>
      </c>
      <c r="E1100" s="50" t="n">
        <v>14.75</v>
      </c>
      <c r="F1100" s="51">
        <f>E1100*$B$5*(1+$B$6)</f>
        <v>19175</v>
      </c>
      <c r="G1100" s="51">
        <f>F1100*$B$7</f>
        <v>47937.5</v>
      </c>
      <c r="H1100" s="51">
        <f>G1100-F1100</f>
        <v>28762.5</v>
      </c>
      <c r="I1100" s="52">
        <f>H1100/G1100</f>
        <v>0.6</v>
      </c>
      <c r="J1100" s="53" t="n"/>
      <c r="K1100" s="54" t="n"/>
    </row>
    <row r="1101">
      <c r="A1101" s="39" t="inlineStr">
        <is>
          <t>Lattafa</t>
        </is>
      </c>
      <c r="B1101" s="47" t="inlineStr">
        <is>
          <t>LATTAFA OUD MOOD ELIXIR 100ML</t>
        </is>
      </c>
      <c r="C1101" s="48" t="n">
        <v>100</v>
      </c>
      <c r="D1101" s="49" t="inlineStr">
        <is>
          <t>Árabe</t>
        </is>
      </c>
      <c r="E1101" s="50" t="n">
        <v>12</v>
      </c>
      <c r="F1101" s="51">
        <f>E1101*$B$5*(1+$B$6)</f>
        <v>15600</v>
      </c>
      <c r="G1101" s="51">
        <f>F1101*$B$7</f>
        <v>39000</v>
      </c>
      <c r="H1101" s="51">
        <f>G1101-F1101</f>
        <v>23400</v>
      </c>
      <c r="I1101" s="52">
        <f>H1101/G1101</f>
        <v>0.6</v>
      </c>
      <c r="J1101" s="53" t="n"/>
      <c r="K1101" s="54" t="n"/>
    </row>
    <row r="1102">
      <c r="A1102" s="39" t="inlineStr">
        <is>
          <t>Lattafa</t>
        </is>
      </c>
      <c r="B1102" s="47" t="inlineStr">
        <is>
          <t>LATTAFA PETRA EDP 100ML</t>
        </is>
      </c>
      <c r="C1102" s="48" t="n">
        <v>100</v>
      </c>
      <c r="D1102" s="49" t="inlineStr">
        <is>
          <t>Árabe</t>
        </is>
      </c>
      <c r="E1102" s="50" t="n">
        <v>21.2</v>
      </c>
      <c r="F1102" s="51">
        <f>E1102*$B$5*(1+$B$6)</f>
        <v>27560</v>
      </c>
      <c r="G1102" s="51">
        <f>F1102*$B$7</f>
        <v>68900</v>
      </c>
      <c r="H1102" s="51">
        <f>G1102-F1102</f>
        <v>41340</v>
      </c>
      <c r="I1102" s="52">
        <f>H1102/G1102</f>
        <v>0.6</v>
      </c>
      <c r="J1102" s="53" t="n"/>
      <c r="K1102" s="54" t="n"/>
    </row>
    <row r="1103">
      <c r="A1103" s="39" t="inlineStr">
        <is>
          <t>Lattafa</t>
        </is>
      </c>
      <c r="B1103" s="47" t="inlineStr">
        <is>
          <t>LATTAFA PRIDE AFFECTION EDP 100ML</t>
        </is>
      </c>
      <c r="C1103" s="48" t="n">
        <v>100</v>
      </c>
      <c r="D1103" s="49" t="inlineStr">
        <is>
          <t>Árabe</t>
        </is>
      </c>
      <c r="E1103" s="50" t="n">
        <v>14</v>
      </c>
      <c r="F1103" s="51">
        <f>E1103*$B$5*(1+$B$6)</f>
        <v>18200</v>
      </c>
      <c r="G1103" s="51">
        <f>F1103*$B$7</f>
        <v>45500</v>
      </c>
      <c r="H1103" s="51">
        <f>G1103-F1103</f>
        <v>27300</v>
      </c>
      <c r="I1103" s="52">
        <f>H1103/G1103</f>
        <v>0.6</v>
      </c>
      <c r="J1103" s="53" t="n"/>
      <c r="K1103" s="54" t="n"/>
    </row>
    <row r="1104">
      <c r="A1104" s="39" t="inlineStr">
        <is>
          <t>Lattafa</t>
        </is>
      </c>
      <c r="B1104" s="47" t="inlineStr">
        <is>
          <t>LATTAFA PRIDE AL AREEQ SILVER EDP 100ML</t>
        </is>
      </c>
      <c r="C1104" s="48" t="n">
        <v>100</v>
      </c>
      <c r="D1104" s="49" t="inlineStr">
        <is>
          <t>Árabe</t>
        </is>
      </c>
      <c r="E1104" s="50" t="n">
        <v>14.9</v>
      </c>
      <c r="F1104" s="51">
        <f>E1104*$B$5*(1+$B$6)</f>
        <v>19370</v>
      </c>
      <c r="G1104" s="51">
        <f>F1104*$B$7</f>
        <v>48425</v>
      </c>
      <c r="H1104" s="51">
        <f>G1104-F1104</f>
        <v>29055</v>
      </c>
      <c r="I1104" s="52">
        <f>H1104/G1104</f>
        <v>0.6</v>
      </c>
      <c r="J1104" s="53" t="n"/>
      <c r="K1104" s="54" t="n"/>
    </row>
    <row r="1105">
      <c r="A1105" s="39" t="inlineStr">
        <is>
          <t>Lattafa</t>
        </is>
      </c>
      <c r="B1105" s="47" t="inlineStr">
        <is>
          <t>LATTAFA PRIDE ANSAAM GOLD EDP 100ML</t>
        </is>
      </c>
      <c r="C1105" s="48" t="n">
        <v>100</v>
      </c>
      <c r="D1105" s="49" t="inlineStr">
        <is>
          <t>Árabe</t>
        </is>
      </c>
      <c r="E1105" s="50" t="n">
        <v>16</v>
      </c>
      <c r="F1105" s="51">
        <f>E1105*$B$5*(1+$B$6)</f>
        <v>20800</v>
      </c>
      <c r="G1105" s="51">
        <f>F1105*$B$7</f>
        <v>52000</v>
      </c>
      <c r="H1105" s="51">
        <f>G1105-F1105</f>
        <v>31200</v>
      </c>
      <c r="I1105" s="52">
        <f>H1105/G1105</f>
        <v>0.6</v>
      </c>
      <c r="J1105" s="53" t="n"/>
      <c r="K1105" s="54" t="n"/>
    </row>
    <row r="1106">
      <c r="A1106" s="39" t="inlineStr">
        <is>
          <t>Lattafa</t>
        </is>
      </c>
      <c r="B1106" s="47" t="inlineStr">
        <is>
          <t>LATTAFA PRIDE ART OF ARABIA I EDP 100ML</t>
        </is>
      </c>
      <c r="C1106" s="48" t="n">
        <v>100</v>
      </c>
      <c r="D1106" s="49" t="inlineStr">
        <is>
          <t>Árabe</t>
        </is>
      </c>
      <c r="E1106" s="50" t="n">
        <v>25.25</v>
      </c>
      <c r="F1106" s="51">
        <f>E1106*$B$5*(1+$B$6)</f>
        <v>32825</v>
      </c>
      <c r="G1106" s="51">
        <f>F1106*$B$7</f>
        <v>82062.5</v>
      </c>
      <c r="H1106" s="51">
        <f>G1106-F1106</f>
        <v>49237.5</v>
      </c>
      <c r="I1106" s="52">
        <f>H1106/G1106</f>
        <v>0.6</v>
      </c>
      <c r="J1106" s="53" t="n"/>
      <c r="K1106" s="54" t="n"/>
    </row>
    <row r="1107">
      <c r="A1107" s="39" t="inlineStr">
        <is>
          <t>Lattafa</t>
        </is>
      </c>
      <c r="B1107" s="47" t="inlineStr">
        <is>
          <t>LATTAFA PRIDE ART OF ARABIA II EDP 100ML</t>
        </is>
      </c>
      <c r="C1107" s="48" t="n">
        <v>100</v>
      </c>
      <c r="D1107" s="49" t="inlineStr">
        <is>
          <t>Árabe</t>
        </is>
      </c>
      <c r="E1107" s="50" t="n">
        <v>23.5</v>
      </c>
      <c r="F1107" s="51">
        <f>E1107*$B$5*(1+$B$6)</f>
        <v>30550</v>
      </c>
      <c r="G1107" s="51">
        <f>F1107*$B$7</f>
        <v>76375</v>
      </c>
      <c r="H1107" s="51">
        <f>G1107-F1107</f>
        <v>45825</v>
      </c>
      <c r="I1107" s="52">
        <f>H1107/G1107</f>
        <v>0.6</v>
      </c>
      <c r="J1107" s="53" t="n"/>
      <c r="K1107" s="54" t="n"/>
    </row>
    <row r="1108">
      <c r="A1108" s="39" t="inlineStr">
        <is>
          <t>Lattafa</t>
        </is>
      </c>
      <c r="B1108" s="47" t="inlineStr">
        <is>
          <t>LATTAFA PRIDE ART OF ARABIA III EDP 100ML</t>
        </is>
      </c>
      <c r="C1108" s="48" t="n">
        <v>100</v>
      </c>
      <c r="D1108" s="49" t="inlineStr">
        <is>
          <t>Árabe</t>
        </is>
      </c>
      <c r="E1108" s="50" t="n">
        <v>23.5</v>
      </c>
      <c r="F1108" s="51">
        <f>E1108*$B$5*(1+$B$6)</f>
        <v>30550</v>
      </c>
      <c r="G1108" s="51">
        <f>F1108*$B$7</f>
        <v>76375</v>
      </c>
      <c r="H1108" s="51">
        <f>G1108-F1108</f>
        <v>45825</v>
      </c>
      <c r="I1108" s="52">
        <f>H1108/G1108</f>
        <v>0.6</v>
      </c>
      <c r="J1108" s="53" t="n"/>
      <c r="K1108" s="54" t="n"/>
    </row>
    <row r="1109">
      <c r="A1109" s="39" t="inlineStr">
        <is>
          <t>Lattafa</t>
        </is>
      </c>
      <c r="B1109" s="47" t="inlineStr">
        <is>
          <t>LATTAFA PRIDE ART OF UNIVERSE EDP 100ML</t>
        </is>
      </c>
      <c r="C1109" s="48" t="n">
        <v>100</v>
      </c>
      <c r="D1109" s="49" t="inlineStr">
        <is>
          <t>Árabe</t>
        </is>
      </c>
      <c r="E1109" s="50" t="n">
        <v>24</v>
      </c>
      <c r="F1109" s="51">
        <f>E1109*$B$5*(1+$B$6)</f>
        <v>31200</v>
      </c>
      <c r="G1109" s="51">
        <f>F1109*$B$7</f>
        <v>78000</v>
      </c>
      <c r="H1109" s="51">
        <f>G1109-F1109</f>
        <v>46800</v>
      </c>
      <c r="I1109" s="52">
        <f>H1109/G1109</f>
        <v>0.6</v>
      </c>
      <c r="J1109" s="53" t="n"/>
      <c r="K1109" s="54" t="n"/>
    </row>
    <row r="1110">
      <c r="A1110" s="39" t="inlineStr">
        <is>
          <t>Lattafa</t>
        </is>
      </c>
      <c r="B1110" s="47" t="inlineStr">
        <is>
          <t>LATTAFA PRIDE ETERNAL OUD EDP 100ML</t>
        </is>
      </c>
      <c r="C1110" s="48" t="n">
        <v>100</v>
      </c>
      <c r="D1110" s="49" t="inlineStr">
        <is>
          <t>Árabe</t>
        </is>
      </c>
      <c r="E1110" s="50" t="n">
        <v>18.99</v>
      </c>
      <c r="F1110" s="51">
        <f>E1110*$B$5*(1+$B$6)</f>
        <v>24687</v>
      </c>
      <c r="G1110" s="51">
        <f>F1110*$B$7</f>
        <v>61717.5</v>
      </c>
      <c r="H1110" s="51">
        <f>G1110-F1110</f>
        <v>37030.5</v>
      </c>
      <c r="I1110" s="52">
        <f>H1110/G1110</f>
        <v>0.6</v>
      </c>
      <c r="J1110" s="53" t="n"/>
      <c r="K1110" s="54" t="n"/>
    </row>
    <row r="1111">
      <c r="A1111" s="39" t="inlineStr">
        <is>
          <t>Lattafa</t>
        </is>
      </c>
      <c r="B1111" s="47" t="inlineStr">
        <is>
          <t>LATTAFA PRIDE ISHQ AL SHUYUKH SILVER EDP 100ML</t>
        </is>
      </c>
      <c r="C1111" s="48" t="n">
        <v>100</v>
      </c>
      <c r="D1111" s="49" t="inlineStr">
        <is>
          <t>Árabe</t>
        </is>
      </c>
      <c r="E1111" s="50" t="n">
        <v>20.5</v>
      </c>
      <c r="F1111" s="51">
        <f>E1111*$B$5*(1+$B$6)</f>
        <v>26650</v>
      </c>
      <c r="G1111" s="51">
        <f>F1111*$B$7</f>
        <v>66625</v>
      </c>
      <c r="H1111" s="51">
        <f>G1111-F1111</f>
        <v>39975</v>
      </c>
      <c r="I1111" s="52">
        <f>H1111/G1111</f>
        <v>0.6</v>
      </c>
      <c r="J1111" s="53" t="n"/>
      <c r="K1111" s="54" t="n"/>
    </row>
    <row r="1112">
      <c r="A1112" s="39" t="inlineStr">
        <is>
          <t>Lattafa</t>
        </is>
      </c>
      <c r="B1112" s="47" t="inlineStr">
        <is>
          <t>LATTAFA PRIDE LA COLLECTION D'ANTIQUITES 1505 (WATCH) EDP 100ML</t>
        </is>
      </c>
      <c r="C1112" s="48" t="n">
        <v>100</v>
      </c>
      <c r="D1112" s="49" t="inlineStr">
        <is>
          <t>Árabe</t>
        </is>
      </c>
      <c r="E1112" s="50" t="n">
        <v>21</v>
      </c>
      <c r="F1112" s="51">
        <f>E1112*$B$5*(1+$B$6)</f>
        <v>27300</v>
      </c>
      <c r="G1112" s="51">
        <f>F1112*$B$7</f>
        <v>68250</v>
      </c>
      <c r="H1112" s="51">
        <f>G1112-F1112</f>
        <v>40950</v>
      </c>
      <c r="I1112" s="52">
        <f>H1112/G1112</f>
        <v>0.6</v>
      </c>
      <c r="J1112" s="53" t="n"/>
      <c r="K1112" s="54" t="n"/>
    </row>
    <row r="1113">
      <c r="A1113" s="39" t="inlineStr">
        <is>
          <t>Lattafa</t>
        </is>
      </c>
      <c r="B1113" s="47" t="inlineStr">
        <is>
          <t>LATTAFA PRIDE LA COLLECTION D'ANTIQUITES 1886 (CAR) EDP 100ML</t>
        </is>
      </c>
      <c r="C1113" s="48" t="n">
        <v>100</v>
      </c>
      <c r="D1113" s="49" t="inlineStr">
        <is>
          <t>Árabe</t>
        </is>
      </c>
      <c r="E1113" s="50" t="n">
        <v>20.25</v>
      </c>
      <c r="F1113" s="51">
        <f>E1113*$B$5*(1+$B$6)</f>
        <v>26325</v>
      </c>
      <c r="G1113" s="51">
        <f>F1113*$B$7</f>
        <v>65812.5</v>
      </c>
      <c r="H1113" s="51">
        <f>G1113-F1113</f>
        <v>39487.5</v>
      </c>
      <c r="I1113" s="52">
        <f>H1113/G1113</f>
        <v>0.6</v>
      </c>
      <c r="J1113" s="53" t="n"/>
      <c r="K1113" s="54" t="n"/>
    </row>
    <row r="1114">
      <c r="A1114" s="39" t="inlineStr">
        <is>
          <t>Lattafa</t>
        </is>
      </c>
      <c r="B1114" s="47" t="inlineStr">
        <is>
          <t>LATTAFA PRIDE LOVE IN PARIS EDP 100ML</t>
        </is>
      </c>
      <c r="C1114" s="48" t="n">
        <v>100</v>
      </c>
      <c r="D1114" s="49" t="inlineStr">
        <is>
          <t>Árabe</t>
        </is>
      </c>
      <c r="E1114" s="50" t="n">
        <v>35</v>
      </c>
      <c r="F1114" s="51">
        <f>E1114*$B$5*(1+$B$6)</f>
        <v>45500</v>
      </c>
      <c r="G1114" s="51">
        <f>F1114*$B$7</f>
        <v>113750</v>
      </c>
      <c r="H1114" s="51">
        <f>G1114-F1114</f>
        <v>68250</v>
      </c>
      <c r="I1114" s="52">
        <f>H1114/G1114</f>
        <v>0.6</v>
      </c>
      <c r="J1114" s="53" t="n"/>
      <c r="K1114" s="54" t="n"/>
    </row>
    <row r="1115">
      <c r="A1115" s="39" t="inlineStr">
        <is>
          <t>Lattafa</t>
        </is>
      </c>
      <c r="B1115" s="47" t="inlineStr">
        <is>
          <t>LATTAFA PRIDE MASA EDP 100ML</t>
        </is>
      </c>
      <c r="C1115" s="48" t="n">
        <v>100</v>
      </c>
      <c r="D1115" s="49" t="inlineStr">
        <is>
          <t>Árabe</t>
        </is>
      </c>
      <c r="E1115" s="50" t="n">
        <v>22</v>
      </c>
      <c r="F1115" s="51">
        <f>E1115*$B$5*(1+$B$6)</f>
        <v>28600</v>
      </c>
      <c r="G1115" s="51">
        <f>F1115*$B$7</f>
        <v>71500</v>
      </c>
      <c r="H1115" s="51">
        <f>G1115-F1115</f>
        <v>42900</v>
      </c>
      <c r="I1115" s="52">
        <f>H1115/G1115</f>
        <v>0.6</v>
      </c>
      <c r="J1115" s="53" t="n"/>
      <c r="K1115" s="54" t="n"/>
    </row>
    <row r="1116">
      <c r="A1116" s="39" t="inlineStr">
        <is>
          <t>Lattafa</t>
        </is>
      </c>
      <c r="B1116" s="47" t="inlineStr">
        <is>
          <t>LATTAFA PRIDE NEBRAS EDP 100ML</t>
        </is>
      </c>
      <c r="C1116" s="48" t="n">
        <v>100</v>
      </c>
      <c r="D1116" s="49" t="inlineStr">
        <is>
          <t>Árabe</t>
        </is>
      </c>
      <c r="E1116" s="50" t="n">
        <v>22.5</v>
      </c>
      <c r="F1116" s="51">
        <f>E1116*$B$5*(1+$B$6)</f>
        <v>29250</v>
      </c>
      <c r="G1116" s="51">
        <f>F1116*$B$7</f>
        <v>73125</v>
      </c>
      <c r="H1116" s="51">
        <f>G1116-F1116</f>
        <v>43875</v>
      </c>
      <c r="I1116" s="52">
        <f>H1116/G1116</f>
        <v>0.6</v>
      </c>
      <c r="J1116" s="53" t="n"/>
      <c r="K1116" s="54" t="n"/>
    </row>
    <row r="1117">
      <c r="A1117" s="39" t="inlineStr">
        <is>
          <t>Lattafa</t>
        </is>
      </c>
      <c r="B1117" s="47" t="inlineStr">
        <is>
          <t>LATTAFA PRIDE NEBRAS ELIXIR 100ML</t>
        </is>
      </c>
      <c r="C1117" s="48" t="n">
        <v>100</v>
      </c>
      <c r="D1117" s="49" t="inlineStr">
        <is>
          <t>Árabe</t>
        </is>
      </c>
      <c r="E1117" s="50" t="n">
        <v>20.5</v>
      </c>
      <c r="F1117" s="51">
        <f>E1117*$B$5*(1+$B$6)</f>
        <v>26650</v>
      </c>
      <c r="G1117" s="51">
        <f>F1117*$B$7</f>
        <v>66625</v>
      </c>
      <c r="H1117" s="51">
        <f>G1117-F1117</f>
        <v>39975</v>
      </c>
      <c r="I1117" s="52">
        <f>H1117/G1117</f>
        <v>0.6</v>
      </c>
      <c r="J1117" s="53" t="n"/>
      <c r="K1117" s="54" t="n"/>
    </row>
    <row r="1118">
      <c r="A1118" s="39" t="inlineStr">
        <is>
          <t>Lattafa</t>
        </is>
      </c>
      <c r="B1118" s="47" t="inlineStr">
        <is>
          <t>LATTAFA PRIDE PISA EDP 100ML</t>
        </is>
      </c>
      <c r="C1118" s="48" t="n">
        <v>100</v>
      </c>
      <c r="D1118" s="49" t="inlineStr">
        <is>
          <t>Árabe</t>
        </is>
      </c>
      <c r="E1118" s="50" t="n">
        <v>28</v>
      </c>
      <c r="F1118" s="51">
        <f>E1118*$B$5*(1+$B$6)</f>
        <v>36400</v>
      </c>
      <c r="G1118" s="51">
        <f>F1118*$B$7</f>
        <v>91000</v>
      </c>
      <c r="H1118" s="51">
        <f>G1118-F1118</f>
        <v>54600</v>
      </c>
      <c r="I1118" s="52">
        <f>H1118/G1118</f>
        <v>0.6</v>
      </c>
      <c r="J1118" s="53" t="n"/>
      <c r="K1118" s="54" t="n"/>
    </row>
    <row r="1119">
      <c r="A1119" s="39" t="inlineStr">
        <is>
          <t>Lattafa</t>
        </is>
      </c>
      <c r="B1119" s="47" t="inlineStr">
        <is>
          <t>LATTAFA PRIDE SHAHEEN GOLD EDP 100ML</t>
        </is>
      </c>
      <c r="C1119" s="48" t="n">
        <v>100</v>
      </c>
      <c r="D1119" s="49" t="inlineStr">
        <is>
          <t>Árabe</t>
        </is>
      </c>
      <c r="E1119" s="50" t="n">
        <v>16.5</v>
      </c>
      <c r="F1119" s="51">
        <f>E1119*$B$5*(1+$B$6)</f>
        <v>21450</v>
      </c>
      <c r="G1119" s="51">
        <f>F1119*$B$7</f>
        <v>53625</v>
      </c>
      <c r="H1119" s="51">
        <f>G1119-F1119</f>
        <v>32175</v>
      </c>
      <c r="I1119" s="52">
        <f>H1119/G1119</f>
        <v>0.6</v>
      </c>
      <c r="J1119" s="53" t="n"/>
      <c r="K1119" s="54" t="n"/>
    </row>
    <row r="1120">
      <c r="A1120" s="39" t="inlineStr">
        <is>
          <t>Lattafa</t>
        </is>
      </c>
      <c r="B1120" s="47" t="inlineStr">
        <is>
          <t>LATTAFA PRIDE SHAHEEN SILVER EDP 100ML</t>
        </is>
      </c>
      <c r="C1120" s="48" t="n">
        <v>100</v>
      </c>
      <c r="D1120" s="49" t="inlineStr">
        <is>
          <t>Árabe</t>
        </is>
      </c>
      <c r="E1120" s="50" t="n">
        <v>16.5</v>
      </c>
      <c r="F1120" s="51">
        <f>E1120*$B$5*(1+$B$6)</f>
        <v>21450</v>
      </c>
      <c r="G1120" s="51">
        <f>F1120*$B$7</f>
        <v>53625</v>
      </c>
      <c r="H1120" s="51">
        <f>G1120-F1120</f>
        <v>32175</v>
      </c>
      <c r="I1120" s="52">
        <f>H1120/G1120</f>
        <v>0.6</v>
      </c>
      <c r="J1120" s="53" t="n"/>
      <c r="K1120" s="54" t="n"/>
    </row>
    <row r="1121">
      <c r="A1121" s="39" t="inlineStr">
        <is>
          <t>Lattafa</t>
        </is>
      </c>
      <c r="B1121" s="47" t="inlineStr">
        <is>
          <t>LATTAFA PRIDE THARWAH GOLD EDP 100ML</t>
        </is>
      </c>
      <c r="C1121" s="48" t="n">
        <v>100</v>
      </c>
      <c r="D1121" s="49" t="inlineStr">
        <is>
          <t>Árabe</t>
        </is>
      </c>
      <c r="E1121" s="50" t="n">
        <v>34</v>
      </c>
      <c r="F1121" s="51">
        <f>E1121*$B$5*(1+$B$6)</f>
        <v>44200</v>
      </c>
      <c r="G1121" s="51">
        <f>F1121*$B$7</f>
        <v>110500</v>
      </c>
      <c r="H1121" s="51">
        <f>G1121-F1121</f>
        <v>66300</v>
      </c>
      <c r="I1121" s="52">
        <f>H1121/G1121</f>
        <v>0.6</v>
      </c>
      <c r="J1121" s="53" t="n"/>
      <c r="K1121" s="54" t="n"/>
    </row>
    <row r="1122">
      <c r="A1122" s="39" t="inlineStr">
        <is>
          <t>Lattafa</t>
        </is>
      </c>
      <c r="B1122" s="47" t="inlineStr">
        <is>
          <t>LATTAFA PRIDE VINTAGE RADIO EDP 100ML</t>
        </is>
      </c>
      <c r="C1122" s="48" t="n">
        <v>100</v>
      </c>
      <c r="D1122" s="49" t="inlineStr">
        <is>
          <t>Árabe</t>
        </is>
      </c>
      <c r="E1122" s="50" t="n">
        <v>17.5</v>
      </c>
      <c r="F1122" s="51">
        <f>E1122*$B$5*(1+$B$6)</f>
        <v>22750</v>
      </c>
      <c r="G1122" s="51">
        <f>F1122*$B$7</f>
        <v>56875</v>
      </c>
      <c r="H1122" s="51">
        <f>G1122-F1122</f>
        <v>34125</v>
      </c>
      <c r="I1122" s="52">
        <f>H1122/G1122</f>
        <v>0.6</v>
      </c>
      <c r="J1122" s="53" t="n"/>
      <c r="K1122" s="54" t="n"/>
    </row>
    <row r="1123">
      <c r="A1123" s="39" t="inlineStr">
        <is>
          <t>Lattafa</t>
        </is>
      </c>
      <c r="B1123" s="47" t="inlineStr">
        <is>
          <t>LATTAFA QAAED EDP 100ML</t>
        </is>
      </c>
      <c r="C1123" s="48" t="n">
        <v>100</v>
      </c>
      <c r="D1123" s="49" t="inlineStr">
        <is>
          <t>Árabe</t>
        </is>
      </c>
      <c r="E1123" s="50" t="n">
        <v>13</v>
      </c>
      <c r="F1123" s="51">
        <f>E1123*$B$5*(1+$B$6)</f>
        <v>16900</v>
      </c>
      <c r="G1123" s="51">
        <f>F1123*$B$7</f>
        <v>42250</v>
      </c>
      <c r="H1123" s="51">
        <f>G1123-F1123</f>
        <v>25350</v>
      </c>
      <c r="I1123" s="52">
        <f>H1123/G1123</f>
        <v>0.6</v>
      </c>
      <c r="J1123" s="53" t="n"/>
      <c r="K1123" s="54" t="n"/>
    </row>
    <row r="1124">
      <c r="A1124" s="39" t="inlineStr">
        <is>
          <t>Lattafa</t>
        </is>
      </c>
      <c r="B1124" s="47" t="inlineStr">
        <is>
          <t>LATTAFA QAED AL FURSAN UNLIMITED (BRANCO) 90ML</t>
        </is>
      </c>
      <c r="C1124" s="48" t="n">
        <v>90</v>
      </c>
      <c r="D1124" s="49" t="inlineStr">
        <is>
          <t>Árabe</t>
        </is>
      </c>
      <c r="E1124" s="50" t="n">
        <v>9.4</v>
      </c>
      <c r="F1124" s="51">
        <f>E1124*$B$5*(1+$B$6)</f>
        <v>12220</v>
      </c>
      <c r="G1124" s="51">
        <f>F1124*$B$7</f>
        <v>30550</v>
      </c>
      <c r="H1124" s="51">
        <f>G1124-F1124</f>
        <v>18330</v>
      </c>
      <c r="I1124" s="52">
        <f>H1124/G1124</f>
        <v>0.6</v>
      </c>
      <c r="J1124" s="53" t="n"/>
      <c r="K1124" s="54" t="n"/>
    </row>
    <row r="1125">
      <c r="A1125" s="39" t="inlineStr">
        <is>
          <t>Lattafa</t>
        </is>
      </c>
      <c r="B1125" s="47" t="inlineStr">
        <is>
          <t>LATTAFA QAED AL FURSAN UNTAMED (MARROM) EDP 90ML</t>
        </is>
      </c>
      <c r="C1125" s="48" t="n">
        <v>90</v>
      </c>
      <c r="D1125" s="49" t="inlineStr">
        <is>
          <t>Árabe</t>
        </is>
      </c>
      <c r="E1125" s="50" t="n">
        <v>10.6</v>
      </c>
      <c r="F1125" s="51">
        <f>E1125*$B$5*(1+$B$6)</f>
        <v>13780</v>
      </c>
      <c r="G1125" s="51">
        <f>F1125*$B$7</f>
        <v>34450</v>
      </c>
      <c r="H1125" s="51">
        <f>G1125-F1125</f>
        <v>20670</v>
      </c>
      <c r="I1125" s="52">
        <f>H1125/G1125</f>
        <v>0.6</v>
      </c>
      <c r="J1125" s="53" t="n"/>
      <c r="K1125" s="54" t="n"/>
    </row>
    <row r="1126">
      <c r="A1126" s="39" t="inlineStr">
        <is>
          <t>Lattafa</t>
        </is>
      </c>
      <c r="B1126" s="47" t="inlineStr">
        <is>
          <t>LATTAFA QIMMAH FOR MEN (BLACK) EDP 100ML</t>
        </is>
      </c>
      <c r="C1126" s="48" t="n">
        <v>100</v>
      </c>
      <c r="D1126" s="49" t="inlineStr">
        <is>
          <t>Árabe</t>
        </is>
      </c>
      <c r="E1126" s="50" t="n">
        <v>10</v>
      </c>
      <c r="F1126" s="51">
        <f>E1126*$B$5*(1+$B$6)</f>
        <v>13000</v>
      </c>
      <c r="G1126" s="51">
        <f>F1126*$B$7</f>
        <v>32500</v>
      </c>
      <c r="H1126" s="51">
        <f>G1126-F1126</f>
        <v>19500</v>
      </c>
      <c r="I1126" s="52">
        <f>H1126/G1126</f>
        <v>0.6</v>
      </c>
      <c r="J1126" s="53" t="n"/>
      <c r="K1126" s="54" t="n"/>
    </row>
    <row r="1127">
      <c r="A1127" s="39" t="inlineStr">
        <is>
          <t>Lattafa</t>
        </is>
      </c>
      <c r="B1127" s="47" t="inlineStr">
        <is>
          <t>LATTAFA QIMMAH FOR WOMEN (VERDE) EDP 100ML</t>
        </is>
      </c>
      <c r="C1127" s="48" t="n">
        <v>100</v>
      </c>
      <c r="D1127" s="49" t="inlineStr">
        <is>
          <t>Árabe</t>
        </is>
      </c>
      <c r="E1127" s="50" t="n">
        <v>14</v>
      </c>
      <c r="F1127" s="51">
        <f>E1127*$B$5*(1+$B$6)</f>
        <v>18200</v>
      </c>
      <c r="G1127" s="51">
        <f>F1127*$B$7</f>
        <v>45500</v>
      </c>
      <c r="H1127" s="51">
        <f>G1127-F1127</f>
        <v>27300</v>
      </c>
      <c r="I1127" s="52">
        <f>H1127/G1127</f>
        <v>0.6</v>
      </c>
      <c r="J1127" s="53" t="n"/>
      <c r="K1127" s="54" t="n"/>
    </row>
    <row r="1128">
      <c r="A1128" s="39" t="inlineStr">
        <is>
          <t>Lattafa</t>
        </is>
      </c>
      <c r="B1128" s="47" t="inlineStr">
        <is>
          <t>LATTAFA QUEEN OF ARABIA EDP 100ML</t>
        </is>
      </c>
      <c r="C1128" s="48" t="n">
        <v>100</v>
      </c>
      <c r="D1128" s="49" t="inlineStr">
        <is>
          <t>Árabe</t>
        </is>
      </c>
      <c r="E1128" s="50" t="n">
        <v>40</v>
      </c>
      <c r="F1128" s="51">
        <f>E1128*$B$5*(1+$B$6)</f>
        <v>52000</v>
      </c>
      <c r="G1128" s="51">
        <f>F1128*$B$7</f>
        <v>130000</v>
      </c>
      <c r="H1128" s="51">
        <f>G1128-F1128</f>
        <v>78000</v>
      </c>
      <c r="I1128" s="52">
        <f>H1128/G1128</f>
        <v>0.6</v>
      </c>
      <c r="J1128" s="53" t="n"/>
      <c r="K1128" s="54" t="n"/>
    </row>
    <row r="1129">
      <c r="A1129" s="39" t="inlineStr">
        <is>
          <t>Lattafa</t>
        </is>
      </c>
      <c r="B1129" s="47" t="inlineStr">
        <is>
          <t>LATTAFA RAGHBA WOMEN EDP 100ML + 50ML DESODORANTE</t>
        </is>
      </c>
      <c r="C1129" s="48" t="n">
        <v>100</v>
      </c>
      <c r="D1129" s="49" t="inlineStr">
        <is>
          <t>Árabe</t>
        </is>
      </c>
      <c r="E1129" s="50" t="n">
        <v>10</v>
      </c>
      <c r="F1129" s="51">
        <f>E1129*$B$5*(1+$B$6)</f>
        <v>13000</v>
      </c>
      <c r="G1129" s="51">
        <f>F1129*$B$7</f>
        <v>32500</v>
      </c>
      <c r="H1129" s="51">
        <f>G1129-F1129</f>
        <v>19500</v>
      </c>
      <c r="I1129" s="52">
        <f>H1129/G1129</f>
        <v>0.6</v>
      </c>
      <c r="J1129" s="53" t="n"/>
      <c r="K1129" s="54" t="n"/>
    </row>
    <row r="1130">
      <c r="A1130" s="39" t="inlineStr">
        <is>
          <t>Lattafa</t>
        </is>
      </c>
      <c r="B1130" s="47" t="inlineStr">
        <is>
          <t>LATTAFA RAMZ GOLD EDP 100ML</t>
        </is>
      </c>
      <c r="C1130" s="48" t="n">
        <v>100</v>
      </c>
      <c r="D1130" s="49" t="inlineStr">
        <is>
          <t>Árabe</t>
        </is>
      </c>
      <c r="E1130" s="50" t="n">
        <v>10.6</v>
      </c>
      <c r="F1130" s="51">
        <f>E1130*$B$5*(1+$B$6)</f>
        <v>13780</v>
      </c>
      <c r="G1130" s="51">
        <f>F1130*$B$7</f>
        <v>34450</v>
      </c>
      <c r="H1130" s="51">
        <f>G1130-F1130</f>
        <v>20670</v>
      </c>
      <c r="I1130" s="52">
        <f>H1130/G1130</f>
        <v>0.6</v>
      </c>
      <c r="J1130" s="53" t="n"/>
      <c r="K1130" s="54" t="n"/>
    </row>
    <row r="1131">
      <c r="A1131" s="39" t="inlineStr">
        <is>
          <t>Lattafa</t>
        </is>
      </c>
      <c r="B1131" s="47" t="inlineStr">
        <is>
          <t>LATTAFA RAVE NOW WHITE 100ML</t>
        </is>
      </c>
      <c r="C1131" s="48" t="n">
        <v>100</v>
      </c>
      <c r="D1131" s="49" t="inlineStr">
        <is>
          <t>Árabe</t>
        </is>
      </c>
      <c r="E1131" s="50" t="n">
        <v>13.5</v>
      </c>
      <c r="F1131" s="51">
        <f>E1131*$B$5*(1+$B$6)</f>
        <v>17550</v>
      </c>
      <c r="G1131" s="51">
        <f>F1131*$B$7</f>
        <v>43875</v>
      </c>
      <c r="H1131" s="51">
        <f>G1131-F1131</f>
        <v>26325</v>
      </c>
      <c r="I1131" s="52">
        <f>H1131/G1131</f>
        <v>0.6</v>
      </c>
      <c r="J1131" s="53" t="n"/>
      <c r="K1131" s="54" t="n"/>
    </row>
    <row r="1132">
      <c r="A1132" s="39" t="inlineStr">
        <is>
          <t>Lattafa</t>
        </is>
      </c>
      <c r="B1132" s="47" t="inlineStr">
        <is>
          <t>LATTAFA RAVE NOW WOMEN (ROSA) EDP 100ML</t>
        </is>
      </c>
      <c r="C1132" s="48" t="n">
        <v>100</v>
      </c>
      <c r="D1132" s="49" t="inlineStr">
        <is>
          <t>Árabe</t>
        </is>
      </c>
      <c r="E1132" s="50" t="n">
        <v>14.5</v>
      </c>
      <c r="F1132" s="51">
        <f>E1132*$B$5*(1+$B$6)</f>
        <v>18850</v>
      </c>
      <c r="G1132" s="51">
        <f>F1132*$B$7</f>
        <v>47125</v>
      </c>
      <c r="H1132" s="51">
        <f>G1132-F1132</f>
        <v>28275</v>
      </c>
      <c r="I1132" s="52">
        <f>H1132/G1132</f>
        <v>0.6</v>
      </c>
      <c r="J1132" s="53" t="n"/>
      <c r="K1132" s="54" t="n"/>
    </row>
    <row r="1133">
      <c r="A1133" s="39" t="inlineStr">
        <is>
          <t>Lattafa</t>
        </is>
      </c>
      <c r="B1133" s="47" t="inlineStr">
        <is>
          <t>LATTAFA ROUAT AL OUD EDP 100ML</t>
        </is>
      </c>
      <c r="C1133" s="48" t="n">
        <v>100</v>
      </c>
      <c r="D1133" s="49" t="inlineStr">
        <is>
          <t>Árabe</t>
        </is>
      </c>
      <c r="E1133" s="50" t="n">
        <v>10</v>
      </c>
      <c r="F1133" s="51">
        <f>E1133*$B$5*(1+$B$6)</f>
        <v>13000</v>
      </c>
      <c r="G1133" s="51">
        <f>F1133*$B$7</f>
        <v>32500</v>
      </c>
      <c r="H1133" s="51">
        <f>G1133-F1133</f>
        <v>19500</v>
      </c>
      <c r="I1133" s="52">
        <f>H1133/G1133</f>
        <v>0.6</v>
      </c>
      <c r="J1133" s="53" t="n"/>
      <c r="K1133" s="54" t="n"/>
    </row>
    <row r="1134">
      <c r="A1134" s="39" t="inlineStr">
        <is>
          <t>Lattafa</t>
        </is>
      </c>
      <c r="B1134" s="47" t="inlineStr">
        <is>
          <t>LATTAFA SAKEENA EDP 100ML</t>
        </is>
      </c>
      <c r="C1134" s="48" t="n">
        <v>100</v>
      </c>
      <c r="D1134" s="49" t="inlineStr">
        <is>
          <t>Árabe</t>
        </is>
      </c>
      <c r="E1134" s="50" t="n">
        <v>16.49</v>
      </c>
      <c r="F1134" s="51">
        <f>E1134*$B$5*(1+$B$6)</f>
        <v>21437</v>
      </c>
      <c r="G1134" s="51">
        <f>F1134*$B$7</f>
        <v>53592.5</v>
      </c>
      <c r="H1134" s="51">
        <f>G1134-F1134</f>
        <v>32155.5</v>
      </c>
      <c r="I1134" s="52">
        <f>H1134/G1134</f>
        <v>0.6</v>
      </c>
      <c r="J1134" s="53" t="n"/>
      <c r="K1134" s="54" t="n"/>
    </row>
    <row r="1135">
      <c r="A1135" s="39" t="inlineStr">
        <is>
          <t>Lattafa</t>
        </is>
      </c>
      <c r="B1135" s="47" t="inlineStr">
        <is>
          <t>LATTAFA SEHR EDP 100ML</t>
        </is>
      </c>
      <c r="C1135" s="48" t="n">
        <v>100</v>
      </c>
      <c r="D1135" s="49" t="inlineStr">
        <is>
          <t>Árabe</t>
        </is>
      </c>
      <c r="E1135" s="50" t="n">
        <v>24.75</v>
      </c>
      <c r="F1135" s="51">
        <f>E1135*$B$5*(1+$B$6)</f>
        <v>32175</v>
      </c>
      <c r="G1135" s="51">
        <f>F1135*$B$7</f>
        <v>80437.5</v>
      </c>
      <c r="H1135" s="51">
        <f>G1135-F1135</f>
        <v>48262.5</v>
      </c>
      <c r="I1135" s="52">
        <f>H1135/G1135</f>
        <v>0.6</v>
      </c>
      <c r="J1135" s="53" t="n"/>
      <c r="K1135" s="54" t="n"/>
    </row>
    <row r="1136">
      <c r="A1136" s="39" t="inlineStr">
        <is>
          <t>Lattafa</t>
        </is>
      </c>
      <c r="B1136" s="47" t="inlineStr">
        <is>
          <t>LATTAFA SER AL MALIKA EDP 100ML</t>
        </is>
      </c>
      <c r="C1136" s="48" t="n">
        <v>100</v>
      </c>
      <c r="D1136" s="49" t="inlineStr">
        <is>
          <t>Árabe</t>
        </is>
      </c>
      <c r="E1136" s="50" t="n">
        <v>12</v>
      </c>
      <c r="F1136" s="51">
        <f>E1136*$B$5*(1+$B$6)</f>
        <v>15600</v>
      </c>
      <c r="G1136" s="51">
        <f>F1136*$B$7</f>
        <v>39000</v>
      </c>
      <c r="H1136" s="51">
        <f>G1136-F1136</f>
        <v>23400</v>
      </c>
      <c r="I1136" s="52">
        <f>H1136/G1136</f>
        <v>0.6</v>
      </c>
      <c r="J1136" s="53" t="n"/>
      <c r="K1136" s="54" t="n"/>
    </row>
    <row r="1137">
      <c r="A1137" s="39" t="inlineStr">
        <is>
          <t>Lattafa</t>
        </is>
      </c>
      <c r="B1137" s="47" t="inlineStr">
        <is>
          <t>LATTAFA SHEIKH AL SHUYUKH LUXE EDITION EDP 100ML</t>
        </is>
      </c>
      <c r="C1137" s="48" t="n">
        <v>100</v>
      </c>
      <c r="D1137" s="49" t="inlineStr">
        <is>
          <t>Árabe</t>
        </is>
      </c>
      <c r="E1137" s="50" t="n">
        <v>11.5</v>
      </c>
      <c r="F1137" s="51">
        <f>E1137*$B$5*(1+$B$6)</f>
        <v>14950</v>
      </c>
      <c r="G1137" s="51">
        <f>F1137*$B$7</f>
        <v>37375</v>
      </c>
      <c r="H1137" s="51">
        <f>G1137-F1137</f>
        <v>22425</v>
      </c>
      <c r="I1137" s="52">
        <f>H1137/G1137</f>
        <v>0.6</v>
      </c>
      <c r="J1137" s="53" t="n"/>
      <c r="K1137" s="54" t="n"/>
    </row>
    <row r="1138">
      <c r="A1138" s="39" t="inlineStr">
        <is>
          <t>Lattafa</t>
        </is>
      </c>
      <c r="B1138" s="47" t="inlineStr">
        <is>
          <t>LATTAFA SHERIF EDP 100ML</t>
        </is>
      </c>
      <c r="C1138" s="48" t="n">
        <v>100</v>
      </c>
      <c r="D1138" s="49" t="inlineStr">
        <is>
          <t>Árabe</t>
        </is>
      </c>
      <c r="E1138" s="50" t="n">
        <v>21.2</v>
      </c>
      <c r="F1138" s="51">
        <f>E1138*$B$5*(1+$B$6)</f>
        <v>27560</v>
      </c>
      <c r="G1138" s="51">
        <f>F1138*$B$7</f>
        <v>68900</v>
      </c>
      <c r="H1138" s="51">
        <f>G1138-F1138</f>
        <v>41340</v>
      </c>
      <c r="I1138" s="52">
        <f>H1138/G1138</f>
        <v>0.6</v>
      </c>
      <c r="J1138" s="53" t="n"/>
      <c r="K1138" s="54" t="n"/>
    </row>
    <row r="1139">
      <c r="A1139" s="39" t="inlineStr">
        <is>
          <t>Lattafa</t>
        </is>
      </c>
      <c r="B1139" s="47" t="inlineStr">
        <is>
          <t>LATTAFA SO POUDREE THAMEEN MUSK COLLECTION EDP 100ML</t>
        </is>
      </c>
      <c r="C1139" s="48" t="n">
        <v>100</v>
      </c>
      <c r="D1139" s="49" t="inlineStr">
        <is>
          <t>Árabe</t>
        </is>
      </c>
      <c r="E1139" s="50" t="n">
        <v>10</v>
      </c>
      <c r="F1139" s="51">
        <f>E1139*$B$5*(1+$B$6)</f>
        <v>13000</v>
      </c>
      <c r="G1139" s="51">
        <f>F1139*$B$7</f>
        <v>32500</v>
      </c>
      <c r="H1139" s="51">
        <f>G1139-F1139</f>
        <v>19500</v>
      </c>
      <c r="I1139" s="52">
        <f>H1139/G1139</f>
        <v>0.6</v>
      </c>
      <c r="J1139" s="53" t="n"/>
      <c r="K1139" s="54" t="n"/>
    </row>
    <row r="1140">
      <c r="A1140" s="39" t="inlineStr">
        <is>
          <t>Lattafa</t>
        </is>
      </c>
      <c r="B1140" s="47" t="inlineStr">
        <is>
          <t>LATTAFA SUGAR PLUM THAMEEN MUSK COLLECTION EDP 100ML</t>
        </is>
      </c>
      <c r="C1140" s="48" t="n">
        <v>100</v>
      </c>
      <c r="D1140" s="49" t="inlineStr">
        <is>
          <t>Árabe</t>
        </is>
      </c>
      <c r="E1140" s="50" t="n">
        <v>10.5</v>
      </c>
      <c r="F1140" s="51">
        <f>E1140*$B$5*(1+$B$6)</f>
        <v>13650</v>
      </c>
      <c r="G1140" s="51">
        <f>F1140*$B$7</f>
        <v>34125</v>
      </c>
      <c r="H1140" s="51">
        <f>G1140-F1140</f>
        <v>20475</v>
      </c>
      <c r="I1140" s="52">
        <f>H1140/G1140</f>
        <v>0.6</v>
      </c>
      <c r="J1140" s="53" t="n"/>
      <c r="K1140" s="54" t="n"/>
    </row>
    <row r="1141">
      <c r="A1141" s="39" t="inlineStr">
        <is>
          <t>Lattafa</t>
        </is>
      </c>
      <c r="B1141" s="47" t="inlineStr">
        <is>
          <t>LATTAFA SUR MESURE NOIR EDP 100ML</t>
        </is>
      </c>
      <c r="C1141" s="48" t="n">
        <v>100</v>
      </c>
      <c r="D1141" s="49" t="inlineStr">
        <is>
          <t>Árabe</t>
        </is>
      </c>
      <c r="E1141" s="50" t="n">
        <v>25</v>
      </c>
      <c r="F1141" s="51">
        <f>E1141*$B$5*(1+$B$6)</f>
        <v>32500</v>
      </c>
      <c r="G1141" s="51">
        <f>F1141*$B$7</f>
        <v>81250</v>
      </c>
      <c r="H1141" s="51">
        <f>G1141-F1141</f>
        <v>48750</v>
      </c>
      <c r="I1141" s="52">
        <f>H1141/G1141</f>
        <v>0.6</v>
      </c>
      <c r="J1141" s="53" t="n"/>
      <c r="K1141" s="54" t="n"/>
    </row>
    <row r="1142">
      <c r="A1142" s="39" t="inlineStr">
        <is>
          <t>Lattafa</t>
        </is>
      </c>
      <c r="B1142" s="47" t="inlineStr">
        <is>
          <t>LATTAFA SUTOOR EDP 100ML FEM</t>
        </is>
      </c>
      <c r="C1142" s="48" t="n">
        <v>100</v>
      </c>
      <c r="D1142" s="49" t="inlineStr">
        <is>
          <t>Árabe</t>
        </is>
      </c>
      <c r="E1142" s="50" t="n">
        <v>14</v>
      </c>
      <c r="F1142" s="51">
        <f>E1142*$B$5*(1+$B$6)</f>
        <v>18200</v>
      </c>
      <c r="G1142" s="51">
        <f>F1142*$B$7</f>
        <v>45500</v>
      </c>
      <c r="H1142" s="51">
        <f>G1142-F1142</f>
        <v>27300</v>
      </c>
      <c r="I1142" s="52">
        <f>H1142/G1142</f>
        <v>0.6</v>
      </c>
      <c r="J1142" s="53" t="n"/>
      <c r="K1142" s="54" t="n"/>
    </row>
    <row r="1143">
      <c r="A1143" s="39" t="inlineStr">
        <is>
          <t>Lattafa</t>
        </is>
      </c>
      <c r="B1143" s="47" t="inlineStr">
        <is>
          <t>LATTAFA TERIAQ EDP 100ML</t>
        </is>
      </c>
      <c r="C1143" s="48" t="n">
        <v>100</v>
      </c>
      <c r="D1143" s="49" t="inlineStr">
        <is>
          <t>Árabe</t>
        </is>
      </c>
      <c r="E1143" s="50" t="n">
        <v>23.55</v>
      </c>
      <c r="F1143" s="51">
        <f>E1143*$B$5*(1+$B$6)</f>
        <v>30615</v>
      </c>
      <c r="G1143" s="51">
        <f>F1143*$B$7</f>
        <v>76537.5</v>
      </c>
      <c r="H1143" s="51">
        <f>G1143-F1143</f>
        <v>45922.5</v>
      </c>
      <c r="I1143" s="52">
        <f>H1143/G1143</f>
        <v>0.6</v>
      </c>
      <c r="J1143" s="53" t="n"/>
      <c r="K1143" s="54" t="n"/>
    </row>
    <row r="1144">
      <c r="A1144" s="39" t="inlineStr">
        <is>
          <t>Lattafa</t>
        </is>
      </c>
      <c r="B1144" s="47" t="inlineStr">
        <is>
          <t>LATTAFA THE KINGDOM EDP 100ML FEM (BEGE)</t>
        </is>
      </c>
      <c r="C1144" s="48" t="n">
        <v>100</v>
      </c>
      <c r="D1144" s="49" t="inlineStr">
        <is>
          <t>Árabe</t>
        </is>
      </c>
      <c r="E1144" s="50" t="n">
        <v>18.9</v>
      </c>
      <c r="F1144" s="51">
        <f>E1144*$B$5*(1+$B$6)</f>
        <v>24570</v>
      </c>
      <c r="G1144" s="51">
        <f>F1144*$B$7</f>
        <v>61425</v>
      </c>
      <c r="H1144" s="51">
        <f>G1144-F1144</f>
        <v>36855</v>
      </c>
      <c r="I1144" s="52">
        <f>H1144/G1144</f>
        <v>0.6</v>
      </c>
      <c r="J1144" s="53" t="n"/>
      <c r="K1144" s="54" t="n"/>
    </row>
    <row r="1145">
      <c r="A1145" s="39" t="inlineStr">
        <is>
          <t>Lattafa</t>
        </is>
      </c>
      <c r="B1145" s="47" t="inlineStr">
        <is>
          <t>LATTAFA THE KINGDOM EDP 100ML MASC (BRANCO)</t>
        </is>
      </c>
      <c r="C1145" s="48" t="n">
        <v>100</v>
      </c>
      <c r="D1145" s="49" t="inlineStr">
        <is>
          <t>Árabe</t>
        </is>
      </c>
      <c r="E1145" s="50" t="n">
        <v>20</v>
      </c>
      <c r="F1145" s="51">
        <f>E1145*$B$5*(1+$B$6)</f>
        <v>26000</v>
      </c>
      <c r="G1145" s="51">
        <f>F1145*$B$7</f>
        <v>65000</v>
      </c>
      <c r="H1145" s="51">
        <f>G1145-F1145</f>
        <v>39000</v>
      </c>
      <c r="I1145" s="52">
        <f>H1145/G1145</f>
        <v>0.6</v>
      </c>
      <c r="J1145" s="53" t="n"/>
      <c r="K1145" s="54" t="n"/>
    </row>
    <row r="1146">
      <c r="A1146" s="39" t="inlineStr">
        <is>
          <t>Lattafa</t>
        </is>
      </c>
      <c r="B1146" s="47" t="inlineStr">
        <is>
          <t>LATTAFA VELVET OUD 100ML</t>
        </is>
      </c>
      <c r="C1146" s="48" t="n">
        <v>100</v>
      </c>
      <c r="D1146" s="49" t="inlineStr">
        <is>
          <t>Árabe</t>
        </is>
      </c>
      <c r="E1146" s="50" t="n">
        <v>10.5</v>
      </c>
      <c r="F1146" s="51">
        <f>E1146*$B$5*(1+$B$6)</f>
        <v>13650</v>
      </c>
      <c r="G1146" s="51">
        <f>F1146*$B$7</f>
        <v>34125</v>
      </c>
      <c r="H1146" s="51">
        <f>G1146-F1146</f>
        <v>20475</v>
      </c>
      <c r="I1146" s="52">
        <f>H1146/G1146</f>
        <v>0.6</v>
      </c>
      <c r="J1146" s="53" t="n"/>
      <c r="K1146" s="54" t="n"/>
    </row>
    <row r="1147">
      <c r="A1147" s="39" t="inlineStr">
        <is>
          <t>Lattafa</t>
        </is>
      </c>
      <c r="B1147" s="47" t="inlineStr">
        <is>
          <t>LATTAFA VELVET ROSE EDP 100ML</t>
        </is>
      </c>
      <c r="C1147" s="48" t="n">
        <v>100</v>
      </c>
      <c r="D1147" s="49" t="inlineStr">
        <is>
          <t>Árabe</t>
        </is>
      </c>
      <c r="E1147" s="50" t="n">
        <v>12</v>
      </c>
      <c r="F1147" s="51">
        <f>E1147*$B$5*(1+$B$6)</f>
        <v>15600</v>
      </c>
      <c r="G1147" s="51">
        <f>F1147*$B$7</f>
        <v>39000</v>
      </c>
      <c r="H1147" s="51">
        <f>G1147-F1147</f>
        <v>23400</v>
      </c>
      <c r="I1147" s="52">
        <f>H1147/G1147</f>
        <v>0.6</v>
      </c>
      <c r="J1147" s="53" t="n"/>
      <c r="K1147" s="54" t="n"/>
    </row>
    <row r="1148">
      <c r="A1148" s="39" t="inlineStr">
        <is>
          <t>Lattafa</t>
        </is>
      </c>
      <c r="B1148" s="47" t="inlineStr">
        <is>
          <t>LATTAFA VICTORIA EDP 100ML</t>
        </is>
      </c>
      <c r="C1148" s="48" t="n">
        <v>100</v>
      </c>
      <c r="D1148" s="49" t="inlineStr">
        <is>
          <t>Árabe</t>
        </is>
      </c>
      <c r="E1148" s="50" t="n">
        <v>21.25</v>
      </c>
      <c r="F1148" s="51">
        <f>E1148*$B$5*(1+$B$6)</f>
        <v>27625</v>
      </c>
      <c r="G1148" s="51">
        <f>F1148*$B$7</f>
        <v>69062.5</v>
      </c>
      <c r="H1148" s="51">
        <f>G1148-F1148</f>
        <v>41437.5</v>
      </c>
      <c r="I1148" s="52">
        <f>H1148/G1148</f>
        <v>0.6</v>
      </c>
      <c r="J1148" s="53" t="n"/>
      <c r="K1148" s="54" t="n"/>
    </row>
    <row r="1149">
      <c r="A1149" s="39" t="inlineStr">
        <is>
          <t>Lattafa</t>
        </is>
      </c>
      <c r="B1149" s="47" t="inlineStr">
        <is>
          <t>LATTAFA WILD VANILLE THAMEEN MUSK COLLECTION EDP 100ML</t>
        </is>
      </c>
      <c r="C1149" s="48" t="n">
        <v>100</v>
      </c>
      <c r="D1149" s="49" t="inlineStr">
        <is>
          <t>Árabe</t>
        </is>
      </c>
      <c r="E1149" s="50" t="n">
        <v>11.5</v>
      </c>
      <c r="F1149" s="51">
        <f>E1149*$B$5*(1+$B$6)</f>
        <v>14950</v>
      </c>
      <c r="G1149" s="51">
        <f>F1149*$B$7</f>
        <v>37375</v>
      </c>
      <c r="H1149" s="51">
        <f>G1149-F1149</f>
        <v>22425</v>
      </c>
      <c r="I1149" s="52">
        <f>H1149/G1149</f>
        <v>0.6</v>
      </c>
      <c r="J1149" s="53" t="n"/>
      <c r="K1149" s="54" t="n"/>
    </row>
    <row r="1150">
      <c r="A1150" s="39" t="inlineStr">
        <is>
          <t>Lattafa</t>
        </is>
      </c>
      <c r="B1150" s="47" t="inlineStr">
        <is>
          <t>LATTAFA YARA (ROSA) EDP 100ML</t>
        </is>
      </c>
      <c r="C1150" s="48" t="n">
        <v>100</v>
      </c>
      <c r="D1150" s="49" t="inlineStr">
        <is>
          <t>Árabe</t>
        </is>
      </c>
      <c r="E1150" s="50" t="n">
        <v>18.5</v>
      </c>
      <c r="F1150" s="51">
        <f>E1150*$B$5*(1+$B$6)</f>
        <v>24050</v>
      </c>
      <c r="G1150" s="51">
        <f>F1150*$B$7</f>
        <v>60125</v>
      </c>
      <c r="H1150" s="51">
        <f>G1150-F1150</f>
        <v>36075</v>
      </c>
      <c r="I1150" s="52">
        <f>H1150/G1150</f>
        <v>0.6</v>
      </c>
      <c r="J1150" s="53" t="n"/>
      <c r="K1150" s="54" t="n"/>
    </row>
    <row r="1151">
      <c r="A1151" s="39" t="inlineStr">
        <is>
          <t>Lattafa</t>
        </is>
      </c>
      <c r="B1151" s="47" t="inlineStr">
        <is>
          <t>LATTAFA YARA CANDY EDP 100ML</t>
        </is>
      </c>
      <c r="C1151" s="48" t="n">
        <v>100</v>
      </c>
      <c r="D1151" s="49" t="inlineStr">
        <is>
          <t>Árabe</t>
        </is>
      </c>
      <c r="E1151" s="50" t="n">
        <v>16.48</v>
      </c>
      <c r="F1151" s="51">
        <f>E1151*$B$5*(1+$B$6)</f>
        <v>21424</v>
      </c>
      <c r="G1151" s="51">
        <f>F1151*$B$7</f>
        <v>53560</v>
      </c>
      <c r="H1151" s="51">
        <f>G1151-F1151</f>
        <v>32136</v>
      </c>
      <c r="I1151" s="52">
        <f>H1151/G1151</f>
        <v>0.6</v>
      </c>
      <c r="J1151" s="53" t="n"/>
      <c r="K1151" s="54" t="n"/>
    </row>
    <row r="1152">
      <c r="A1152" s="39" t="inlineStr">
        <is>
          <t>Lattafa</t>
        </is>
      </c>
      <c r="B1152" s="47" t="inlineStr">
        <is>
          <t>LATTAFA YARA ELIXIR EDP 100ML FEM</t>
        </is>
      </c>
      <c r="C1152" s="48" t="n">
        <v>100</v>
      </c>
      <c r="D1152" s="49" t="inlineStr">
        <is>
          <t>Árabe</t>
        </is>
      </c>
      <c r="E1152" s="50" t="n">
        <v>24.74</v>
      </c>
      <c r="F1152" s="51">
        <f>E1152*$B$5*(1+$B$6)</f>
        <v>32162</v>
      </c>
      <c r="G1152" s="51">
        <f>F1152*$B$7</f>
        <v>80405</v>
      </c>
      <c r="H1152" s="51">
        <f>G1152-F1152</f>
        <v>48243</v>
      </c>
      <c r="I1152" s="52">
        <f>H1152/G1152</f>
        <v>0.6</v>
      </c>
      <c r="J1152" s="53" t="n"/>
      <c r="K1152" s="54" t="n"/>
    </row>
    <row r="1153">
      <c r="A1153" s="39" t="inlineStr">
        <is>
          <t>Lattafa</t>
        </is>
      </c>
      <c r="B1153" s="47" t="inlineStr">
        <is>
          <t>LATTAFA YARA MOI (BRANCO) EDP 100ML FEM</t>
        </is>
      </c>
      <c r="C1153" s="48" t="n">
        <v>100</v>
      </c>
      <c r="D1153" s="49" t="inlineStr">
        <is>
          <t>Árabe</t>
        </is>
      </c>
      <c r="E1153" s="50" t="n">
        <v>16.49</v>
      </c>
      <c r="F1153" s="51">
        <f>E1153*$B$5*(1+$B$6)</f>
        <v>21437</v>
      </c>
      <c r="G1153" s="51">
        <f>F1153*$B$7</f>
        <v>53592.5</v>
      </c>
      <c r="H1153" s="51">
        <f>G1153-F1153</f>
        <v>32155.5</v>
      </c>
      <c r="I1153" s="52">
        <f>H1153/G1153</f>
        <v>0.6</v>
      </c>
      <c r="J1153" s="53" t="n"/>
      <c r="K1153" s="54" t="n"/>
    </row>
    <row r="1154">
      <c r="A1154" s="39" t="inlineStr">
        <is>
          <t>Lattafa</t>
        </is>
      </c>
      <c r="B1154" s="47" t="inlineStr">
        <is>
          <t>LATTAFA YARA TOUS (AMARELO) EDP 100ML</t>
        </is>
      </c>
      <c r="C1154" s="48" t="n">
        <v>100</v>
      </c>
      <c r="D1154" s="49" t="inlineStr">
        <is>
          <t>Árabe</t>
        </is>
      </c>
      <c r="E1154" s="50" t="n">
        <v>16.48</v>
      </c>
      <c r="F1154" s="51">
        <f>E1154*$B$5*(1+$B$6)</f>
        <v>21424</v>
      </c>
      <c r="G1154" s="51">
        <f>F1154*$B$7</f>
        <v>53560</v>
      </c>
      <c r="H1154" s="51">
        <f>G1154-F1154</f>
        <v>32136</v>
      </c>
      <c r="I1154" s="52">
        <f>H1154/G1154</f>
        <v>0.6</v>
      </c>
      <c r="J1154" s="53" t="n"/>
      <c r="K1154" s="54" t="n"/>
    </row>
    <row r="1155">
      <c r="A1155" s="39" t="inlineStr">
        <is>
          <t>Le Labo</t>
        </is>
      </c>
      <c r="B1155" s="47" t="inlineStr">
        <is>
          <t>LE LABO AMBRETTE 9 EDP 100ML</t>
        </is>
      </c>
      <c r="C1155" s="48" t="n">
        <v>100</v>
      </c>
      <c r="D1155" s="49" t="inlineStr">
        <is>
          <t>Nicho</t>
        </is>
      </c>
      <c r="E1155" s="50" t="n">
        <v>250</v>
      </c>
      <c r="F1155" s="51">
        <f>E1155*$B$5*(1+$B$6)</f>
        <v>325000</v>
      </c>
      <c r="G1155" s="51">
        <f>F1155*$B$7</f>
        <v>812500</v>
      </c>
      <c r="H1155" s="51">
        <f>G1155-F1155</f>
        <v>487500</v>
      </c>
      <c r="I1155" s="52">
        <f>H1155/G1155</f>
        <v>0.6</v>
      </c>
      <c r="J1155" s="53" t="n"/>
      <c r="K1155" s="54" t="n"/>
    </row>
    <row r="1156">
      <c r="A1156" s="39" t="inlineStr">
        <is>
          <t>Le Labo</t>
        </is>
      </c>
      <c r="B1156" s="47" t="inlineStr">
        <is>
          <t>LE LABO BERGAMOTE 22 EDP 30ML</t>
        </is>
      </c>
      <c r="C1156" s="48" t="n">
        <v>30</v>
      </c>
      <c r="D1156" s="49" t="inlineStr">
        <is>
          <t>Nicho</t>
        </is>
      </c>
      <c r="E1156" s="50" t="n">
        <v>140</v>
      </c>
      <c r="F1156" s="51">
        <f>E1156*$B$5*(1+$B$6)</f>
        <v>182000</v>
      </c>
      <c r="G1156" s="51">
        <f>F1156*$B$7</f>
        <v>455000</v>
      </c>
      <c r="H1156" s="51">
        <f>G1156-F1156</f>
        <v>273000</v>
      </c>
      <c r="I1156" s="52">
        <f>H1156/G1156</f>
        <v>0.6</v>
      </c>
      <c r="J1156" s="53" t="n"/>
      <c r="K1156" s="54" t="n"/>
    </row>
    <row r="1157">
      <c r="A1157" s="39" t="inlineStr">
        <is>
          <t>Le Labo</t>
        </is>
      </c>
      <c r="B1157" s="47" t="inlineStr">
        <is>
          <t>LE LABO FLEUR D'ORANGER 27 EDP 100ML</t>
        </is>
      </c>
      <c r="C1157" s="48" t="n">
        <v>100</v>
      </c>
      <c r="D1157" s="49" t="inlineStr">
        <is>
          <t>Nicho</t>
        </is>
      </c>
      <c r="E1157" s="50" t="n">
        <v>250</v>
      </c>
      <c r="F1157" s="51">
        <f>E1157*$B$5*(1+$B$6)</f>
        <v>325000</v>
      </c>
      <c r="G1157" s="51">
        <f>F1157*$B$7</f>
        <v>812500</v>
      </c>
      <c r="H1157" s="51">
        <f>G1157-F1157</f>
        <v>487500</v>
      </c>
      <c r="I1157" s="52">
        <f>H1157/G1157</f>
        <v>0.6</v>
      </c>
      <c r="J1157" s="53" t="n"/>
      <c r="K1157" s="54" t="n"/>
    </row>
    <row r="1158">
      <c r="A1158" s="39" t="inlineStr">
        <is>
          <t>Legacy King</t>
        </is>
      </c>
      <c r="B1158" s="47" t="inlineStr">
        <is>
          <t>LEGACY KING COLL.009 VICTORY 25ML</t>
        </is>
      </c>
      <c r="C1158" s="48" t="n">
        <v>25</v>
      </c>
      <c r="D1158" s="49" t="inlineStr">
        <is>
          <t>Árabe</t>
        </is>
      </c>
      <c r="E1158" s="50" t="n">
        <v>4.5</v>
      </c>
      <c r="F1158" s="51">
        <f>E1158*$B$5*(1+$B$6)</f>
        <v>5850</v>
      </c>
      <c r="G1158" s="51">
        <f>F1158*$B$7</f>
        <v>14625</v>
      </c>
      <c r="H1158" s="51">
        <f>G1158-F1158</f>
        <v>8775</v>
      </c>
      <c r="I1158" s="52">
        <f>H1158/G1158</f>
        <v>0.6</v>
      </c>
      <c r="J1158" s="53" t="n"/>
      <c r="K1158" s="54" t="inlineStr">
        <is>
          <t>clon/genérico</t>
        </is>
      </c>
    </row>
    <row r="1159">
      <c r="A1159" s="39" t="inlineStr">
        <is>
          <t>Legacy King</t>
        </is>
      </c>
      <c r="B1159" s="47" t="inlineStr">
        <is>
          <t>LEGACY KING COLL.013 COCO CHANEL 25ML</t>
        </is>
      </c>
      <c r="C1159" s="48" t="n">
        <v>25</v>
      </c>
      <c r="D1159" s="49" t="inlineStr">
        <is>
          <t>Árabe</t>
        </is>
      </c>
      <c r="E1159" s="50" t="n">
        <v>4.5</v>
      </c>
      <c r="F1159" s="51">
        <f>E1159*$B$5*(1+$B$6)</f>
        <v>5850</v>
      </c>
      <c r="G1159" s="51">
        <f>F1159*$B$7</f>
        <v>14625</v>
      </c>
      <c r="H1159" s="51">
        <f>G1159-F1159</f>
        <v>8775</v>
      </c>
      <c r="I1159" s="52">
        <f>H1159/G1159</f>
        <v>0.6</v>
      </c>
      <c r="J1159" s="53" t="n"/>
      <c r="K1159" s="54" t="inlineStr">
        <is>
          <t>clon/genérico</t>
        </is>
      </c>
    </row>
    <row r="1160">
      <c r="A1160" s="39" t="inlineStr">
        <is>
          <t>Maison Alhambra</t>
        </is>
      </c>
      <c r="B1160" s="47" t="inlineStr">
        <is>
          <t>DESODORANTE MAISON ALHAMBRA LA VOIE 200ML</t>
        </is>
      </c>
      <c r="C1160" s="48" t="n">
        <v>200</v>
      </c>
      <c r="D1160" s="49" t="inlineStr">
        <is>
          <t>Árabe</t>
        </is>
      </c>
      <c r="E1160" s="50" t="n">
        <v>2.7</v>
      </c>
      <c r="F1160" s="51">
        <f>E1160*$B$5*(1+$B$6)</f>
        <v>3510</v>
      </c>
      <c r="G1160" s="51">
        <f>F1160*$B$7</f>
        <v>8775</v>
      </c>
      <c r="H1160" s="51">
        <f>G1160-F1160</f>
        <v>5265</v>
      </c>
      <c r="I1160" s="52">
        <f>H1160/G1160</f>
        <v>0.6</v>
      </c>
      <c r="J1160" s="53" t="n"/>
      <c r="K1160" s="54" t="n"/>
    </row>
    <row r="1161">
      <c r="A1161" s="39" t="inlineStr">
        <is>
          <t>Maison Alhambra</t>
        </is>
      </c>
      <c r="B1161" s="47" t="inlineStr">
        <is>
          <t>MAISON ALHAMBRA ATHENA EDP 100ML (GOLD)</t>
        </is>
      </c>
      <c r="C1161" s="48" t="n">
        <v>100</v>
      </c>
      <c r="D1161" s="49" t="inlineStr">
        <is>
          <t>Árabe</t>
        </is>
      </c>
      <c r="E1161" s="50" t="n">
        <v>21</v>
      </c>
      <c r="F1161" s="51">
        <f>E1161*$B$5*(1+$B$6)</f>
        <v>27300</v>
      </c>
      <c r="G1161" s="51">
        <f>F1161*$B$7</f>
        <v>68250</v>
      </c>
      <c r="H1161" s="51">
        <f>G1161-F1161</f>
        <v>40950</v>
      </c>
      <c r="I1161" s="52">
        <f>H1161/G1161</f>
        <v>0.6</v>
      </c>
      <c r="J1161" s="53" t="n"/>
      <c r="K1161" s="54" t="n"/>
    </row>
    <row r="1162">
      <c r="A1162" s="39" t="inlineStr">
        <is>
          <t>Maison Alhambra</t>
        </is>
      </c>
      <c r="B1162" s="47" t="inlineStr">
        <is>
          <t>MAISON ALHAMBRA AVANT EDP 30ML</t>
        </is>
      </c>
      <c r="C1162" s="48" t="n">
        <v>30</v>
      </c>
      <c r="D1162" s="49" t="inlineStr">
        <is>
          <t>Árabe</t>
        </is>
      </c>
      <c r="E1162" s="50" t="n">
        <v>4.49</v>
      </c>
      <c r="F1162" s="51">
        <f>E1162*$B$5*(1+$B$6)</f>
        <v>5837</v>
      </c>
      <c r="G1162" s="51">
        <f>F1162*$B$7</f>
        <v>14592.5</v>
      </c>
      <c r="H1162" s="51">
        <f>G1162-F1162</f>
        <v>8755.5</v>
      </c>
      <c r="I1162" s="52">
        <f>H1162/G1162</f>
        <v>0.6</v>
      </c>
      <c r="J1162" s="53" t="n"/>
      <c r="K1162" s="54" t="n"/>
    </row>
    <row r="1163">
      <c r="A1163" s="39" t="inlineStr">
        <is>
          <t>Maison Alhambra</t>
        </is>
      </c>
      <c r="B1163" s="47" t="inlineStr">
        <is>
          <t>MAISON ALHAMBRA B.A.D FEMME EDP 100ML</t>
        </is>
      </c>
      <c r="C1163" s="48" t="n">
        <v>100</v>
      </c>
      <c r="D1163" s="49" t="inlineStr">
        <is>
          <t>Árabe</t>
        </is>
      </c>
      <c r="E1163" s="50" t="n">
        <v>12</v>
      </c>
      <c r="F1163" s="51">
        <f>E1163*$B$5*(1+$B$6)</f>
        <v>15600</v>
      </c>
      <c r="G1163" s="51">
        <f>F1163*$B$7</f>
        <v>39000</v>
      </c>
      <c r="H1163" s="51">
        <f>G1163-F1163</f>
        <v>23400</v>
      </c>
      <c r="I1163" s="52">
        <f>H1163/G1163</f>
        <v>0.6</v>
      </c>
      <c r="J1163" s="53" t="n"/>
      <c r="K1163" s="54" t="n"/>
    </row>
    <row r="1164">
      <c r="A1164" s="39" t="inlineStr">
        <is>
          <t>Maison Alhambra</t>
        </is>
      </c>
      <c r="B1164" s="47" t="inlineStr">
        <is>
          <t>MAISON ALHAMBRA BODY MIST ALIVE NOW 250ML</t>
        </is>
      </c>
      <c r="C1164" s="48" t="n">
        <v>250</v>
      </c>
      <c r="D1164" s="49" t="inlineStr">
        <is>
          <t>Árabe</t>
        </is>
      </c>
      <c r="E1164" s="50" t="n">
        <v>6.99</v>
      </c>
      <c r="F1164" s="51">
        <f>E1164*$B$5*(1+$B$6)</f>
        <v>9087</v>
      </c>
      <c r="G1164" s="51">
        <f>F1164*$B$7</f>
        <v>22717.5</v>
      </c>
      <c r="H1164" s="51">
        <f>G1164-F1164</f>
        <v>13630.5</v>
      </c>
      <c r="I1164" s="52">
        <f>H1164/G1164</f>
        <v>0.6</v>
      </c>
      <c r="J1164" s="53" t="n"/>
      <c r="K1164" s="54" t="n"/>
    </row>
    <row r="1165">
      <c r="A1165" s="39" t="inlineStr">
        <is>
          <t>Maison Alhambra</t>
        </is>
      </c>
      <c r="B1165" s="47" t="inlineStr">
        <is>
          <t>MAISON ALHAMBRA BODY MIST B.A.D POUR FEMME 250ML</t>
        </is>
      </c>
      <c r="C1165" s="48" t="n">
        <v>250</v>
      </c>
      <c r="D1165" s="49" t="inlineStr">
        <is>
          <t>Árabe</t>
        </is>
      </c>
      <c r="E1165" s="50" t="n">
        <v>6.99</v>
      </c>
      <c r="F1165" s="51">
        <f>E1165*$B$5*(1+$B$6)</f>
        <v>9087</v>
      </c>
      <c r="G1165" s="51">
        <f>F1165*$B$7</f>
        <v>22717.5</v>
      </c>
      <c r="H1165" s="51">
        <f>G1165-F1165</f>
        <v>13630.5</v>
      </c>
      <c r="I1165" s="52">
        <f>H1165/G1165</f>
        <v>0.6</v>
      </c>
      <c r="J1165" s="53" t="n"/>
      <c r="K1165" s="54" t="n"/>
    </row>
    <row r="1166">
      <c r="A1166" s="39" t="inlineStr">
        <is>
          <t>Maison Alhambra</t>
        </is>
      </c>
      <c r="B1166" s="47" t="inlineStr">
        <is>
          <t>MAISON ALHAMBRA BODY MIST CHANTS 250ML</t>
        </is>
      </c>
      <c r="C1166" s="48" t="n">
        <v>250</v>
      </c>
      <c r="D1166" s="49" t="inlineStr">
        <is>
          <t>Árabe</t>
        </is>
      </c>
      <c r="E1166" s="50" t="n">
        <v>6.99</v>
      </c>
      <c r="F1166" s="51">
        <f>E1166*$B$5*(1+$B$6)</f>
        <v>9087</v>
      </c>
      <c r="G1166" s="51">
        <f>F1166*$B$7</f>
        <v>22717.5</v>
      </c>
      <c r="H1166" s="51">
        <f>G1166-F1166</f>
        <v>13630.5</v>
      </c>
      <c r="I1166" s="52">
        <f>H1166/G1166</f>
        <v>0.6</v>
      </c>
      <c r="J1166" s="53" t="n"/>
      <c r="K1166" s="54" t="n"/>
    </row>
    <row r="1167">
      <c r="A1167" s="39" t="inlineStr">
        <is>
          <t>Maison Alhambra</t>
        </is>
      </c>
      <c r="B1167" s="47" t="inlineStr">
        <is>
          <t>MAISON ALHAMBRA BODY MIST DELILAH POUR FEMME 250ML</t>
        </is>
      </c>
      <c r="C1167" s="48" t="n">
        <v>250</v>
      </c>
      <c r="D1167" s="49" t="inlineStr">
        <is>
          <t>Árabe</t>
        </is>
      </c>
      <c r="E1167" s="50" t="n">
        <v>6.99</v>
      </c>
      <c r="F1167" s="51">
        <f>E1167*$B$5*(1+$B$6)</f>
        <v>9087</v>
      </c>
      <c r="G1167" s="51">
        <f>F1167*$B$7</f>
        <v>22717.5</v>
      </c>
      <c r="H1167" s="51">
        <f>G1167-F1167</f>
        <v>13630.5</v>
      </c>
      <c r="I1167" s="52">
        <f>H1167/G1167</f>
        <v>0.6</v>
      </c>
      <c r="J1167" s="53" t="n"/>
      <c r="K1167" s="54" t="n"/>
    </row>
    <row r="1168">
      <c r="A1168" s="39" t="inlineStr">
        <is>
          <t>Maison Alhambra</t>
        </is>
      </c>
      <c r="B1168" s="47" t="inlineStr">
        <is>
          <t>MAISON ALHAMBRA BODY MIST DESIRABLE ADDICTION 250ML</t>
        </is>
      </c>
      <c r="C1168" s="48" t="n">
        <v>250</v>
      </c>
      <c r="D1168" s="49" t="inlineStr">
        <is>
          <t>Árabe</t>
        </is>
      </c>
      <c r="E1168" s="50" t="n">
        <v>6.99</v>
      </c>
      <c r="F1168" s="51">
        <f>E1168*$B$5*(1+$B$6)</f>
        <v>9087</v>
      </c>
      <c r="G1168" s="51">
        <f>F1168*$B$7</f>
        <v>22717.5</v>
      </c>
      <c r="H1168" s="51">
        <f>G1168-F1168</f>
        <v>13630.5</v>
      </c>
      <c r="I1168" s="52">
        <f>H1168/G1168</f>
        <v>0.6</v>
      </c>
      <c r="J1168" s="53" t="n"/>
      <c r="K1168" s="54" t="n"/>
    </row>
    <row r="1169">
      <c r="A1169" s="39" t="inlineStr">
        <is>
          <t>Maison Alhambra</t>
        </is>
      </c>
      <c r="B1169" s="47" t="inlineStr">
        <is>
          <t>MAISON ALHAMBRA BODY MIST GLACIER BELLA 250ML</t>
        </is>
      </c>
      <c r="C1169" s="48" t="n">
        <v>250</v>
      </c>
      <c r="D1169" s="49" t="inlineStr">
        <is>
          <t>Árabe</t>
        </is>
      </c>
      <c r="E1169" s="50" t="n">
        <v>6.99</v>
      </c>
      <c r="F1169" s="51">
        <f>E1169*$B$5*(1+$B$6)</f>
        <v>9087</v>
      </c>
      <c r="G1169" s="51">
        <f>F1169*$B$7</f>
        <v>22717.5</v>
      </c>
      <c r="H1169" s="51">
        <f>G1169-F1169</f>
        <v>13630.5</v>
      </c>
      <c r="I1169" s="52">
        <f>H1169/G1169</f>
        <v>0.6</v>
      </c>
      <c r="J1169" s="53" t="n"/>
      <c r="K1169" s="54" t="n"/>
    </row>
    <row r="1170">
      <c r="A1170" s="39" t="inlineStr">
        <is>
          <t>Maison Alhambra</t>
        </is>
      </c>
      <c r="B1170" s="47" t="inlineStr">
        <is>
          <t>MAISON ALHAMBRA BODY MIST INTRUDE 250ML</t>
        </is>
      </c>
      <c r="C1170" s="48" t="n">
        <v>250</v>
      </c>
      <c r="D1170" s="49" t="inlineStr">
        <is>
          <t>Árabe</t>
        </is>
      </c>
      <c r="E1170" s="50" t="n">
        <v>6.99</v>
      </c>
      <c r="F1170" s="51">
        <f>E1170*$B$5*(1+$B$6)</f>
        <v>9087</v>
      </c>
      <c r="G1170" s="51">
        <f>F1170*$B$7</f>
        <v>22717.5</v>
      </c>
      <c r="H1170" s="51">
        <f>G1170-F1170</f>
        <v>13630.5</v>
      </c>
      <c r="I1170" s="52">
        <f>H1170/G1170</f>
        <v>0.6</v>
      </c>
      <c r="J1170" s="53" t="n"/>
      <c r="K1170" s="54" t="n"/>
    </row>
    <row r="1171">
      <c r="A1171" s="39" t="inlineStr">
        <is>
          <t>Maison Alhambra</t>
        </is>
      </c>
      <c r="B1171" s="47" t="inlineStr">
        <is>
          <t>MAISON ALHAMBRA BODY MIST LA VIVACITE 250ML</t>
        </is>
      </c>
      <c r="C1171" s="48" t="n">
        <v>250</v>
      </c>
      <c r="D1171" s="49" t="inlineStr">
        <is>
          <t>Árabe</t>
        </is>
      </c>
      <c r="E1171" s="50" t="n">
        <v>6.99</v>
      </c>
      <c r="F1171" s="51">
        <f>E1171*$B$5*(1+$B$6)</f>
        <v>9087</v>
      </c>
      <c r="G1171" s="51">
        <f>F1171*$B$7</f>
        <v>22717.5</v>
      </c>
      <c r="H1171" s="51">
        <f>G1171-F1171</f>
        <v>13630.5</v>
      </c>
      <c r="I1171" s="52">
        <f>H1171/G1171</f>
        <v>0.6</v>
      </c>
      <c r="J1171" s="53" t="n"/>
      <c r="K1171" s="54" t="n"/>
    </row>
    <row r="1172">
      <c r="A1172" s="39" t="inlineStr">
        <is>
          <t>Maison Alhambra</t>
        </is>
      </c>
      <c r="B1172" s="47" t="inlineStr">
        <is>
          <t>MAISON ALHAMBRA BODY MIST LA VOIE 250ML</t>
        </is>
      </c>
      <c r="C1172" s="48" t="n">
        <v>250</v>
      </c>
      <c r="D1172" s="49" t="inlineStr">
        <is>
          <t>Árabe</t>
        </is>
      </c>
      <c r="E1172" s="50" t="n">
        <v>6.99</v>
      </c>
      <c r="F1172" s="51">
        <f>E1172*$B$5*(1+$B$6)</f>
        <v>9087</v>
      </c>
      <c r="G1172" s="51">
        <f>F1172*$B$7</f>
        <v>22717.5</v>
      </c>
      <c r="H1172" s="51">
        <f>G1172-F1172</f>
        <v>13630.5</v>
      </c>
      <c r="I1172" s="52">
        <f>H1172/G1172</f>
        <v>0.6</v>
      </c>
      <c r="J1172" s="53" t="n"/>
      <c r="K1172" s="54" t="n"/>
    </row>
    <row r="1173">
      <c r="A1173" s="39" t="inlineStr">
        <is>
          <t>Maison Alhambra</t>
        </is>
      </c>
      <c r="B1173" s="47" t="inlineStr">
        <is>
          <t>MAISON ALHAMBRA BODY MIST LOVE SPARK 250ML</t>
        </is>
      </c>
      <c r="C1173" s="48" t="n">
        <v>250</v>
      </c>
      <c r="D1173" s="49" t="inlineStr">
        <is>
          <t>Árabe</t>
        </is>
      </c>
      <c r="E1173" s="50" t="n">
        <v>6.99</v>
      </c>
      <c r="F1173" s="51">
        <f>E1173*$B$5*(1+$B$6)</f>
        <v>9087</v>
      </c>
      <c r="G1173" s="51">
        <f>F1173*$B$7</f>
        <v>22717.5</v>
      </c>
      <c r="H1173" s="51">
        <f>G1173-F1173</f>
        <v>13630.5</v>
      </c>
      <c r="I1173" s="52">
        <f>H1173/G1173</f>
        <v>0.6</v>
      </c>
      <c r="J1173" s="53" t="n"/>
      <c r="K1173" s="54" t="n"/>
    </row>
    <row r="1174">
      <c r="A1174" s="39" t="inlineStr">
        <is>
          <t>Maison Alhambra</t>
        </is>
      </c>
      <c r="B1174" s="47" t="inlineStr">
        <is>
          <t>MAISON ALHAMBRA BODY MIST MIA DOLCEZZA 250ML</t>
        </is>
      </c>
      <c r="C1174" s="48" t="n">
        <v>250</v>
      </c>
      <c r="D1174" s="49" t="inlineStr">
        <is>
          <t>Árabe</t>
        </is>
      </c>
      <c r="E1174" s="50" t="n">
        <v>6.99</v>
      </c>
      <c r="F1174" s="51">
        <f>E1174*$B$5*(1+$B$6)</f>
        <v>9087</v>
      </c>
      <c r="G1174" s="51">
        <f>F1174*$B$7</f>
        <v>22717.5</v>
      </c>
      <c r="H1174" s="51">
        <f>G1174-F1174</f>
        <v>13630.5</v>
      </c>
      <c r="I1174" s="52">
        <f>H1174/G1174</f>
        <v>0.6</v>
      </c>
      <c r="J1174" s="53" t="n"/>
      <c r="K1174" s="54" t="n"/>
    </row>
    <row r="1175">
      <c r="A1175" s="39" t="inlineStr">
        <is>
          <t>Maison Alhambra</t>
        </is>
      </c>
      <c r="B1175" s="47" t="inlineStr">
        <is>
          <t>MAISON ALHAMBRA BODY MIST OPERA NOIR 250ML</t>
        </is>
      </c>
      <c r="C1175" s="48" t="n">
        <v>250</v>
      </c>
      <c r="D1175" s="49" t="inlineStr">
        <is>
          <t>Árabe</t>
        </is>
      </c>
      <c r="E1175" s="50" t="n">
        <v>6.99</v>
      </c>
      <c r="F1175" s="51">
        <f>E1175*$B$5*(1+$B$6)</f>
        <v>9087</v>
      </c>
      <c r="G1175" s="51">
        <f>F1175*$B$7</f>
        <v>22717.5</v>
      </c>
      <c r="H1175" s="51">
        <f>G1175-F1175</f>
        <v>13630.5</v>
      </c>
      <c r="I1175" s="52">
        <f>H1175/G1175</f>
        <v>0.6</v>
      </c>
      <c r="J1175" s="53" t="n"/>
      <c r="K1175" s="54" t="n"/>
    </row>
    <row r="1176">
      <c r="A1176" s="39" t="inlineStr">
        <is>
          <t>Maison Alhambra</t>
        </is>
      </c>
      <c r="B1176" s="47" t="inlineStr">
        <is>
          <t>MAISON ALHAMBRA BODY MIST OPERA ROUGE 250ML</t>
        </is>
      </c>
      <c r="C1176" s="48" t="n">
        <v>250</v>
      </c>
      <c r="D1176" s="49" t="inlineStr">
        <is>
          <t>Árabe</t>
        </is>
      </c>
      <c r="E1176" s="50" t="n">
        <v>6.99</v>
      </c>
      <c r="F1176" s="51">
        <f>E1176*$B$5*(1+$B$6)</f>
        <v>9087</v>
      </c>
      <c r="G1176" s="51">
        <f>F1176*$B$7</f>
        <v>22717.5</v>
      </c>
      <c r="H1176" s="51">
        <f>G1176-F1176</f>
        <v>13630.5</v>
      </c>
      <c r="I1176" s="52">
        <f>H1176/G1176</f>
        <v>0.6</v>
      </c>
      <c r="J1176" s="53" t="n"/>
      <c r="K1176" s="54" t="n"/>
    </row>
    <row r="1177">
      <c r="A1177" s="39" t="inlineStr">
        <is>
          <t>Maison Alhambra</t>
        </is>
      </c>
      <c r="B1177" s="47" t="inlineStr">
        <is>
          <t>MAISON ALHAMBRA BODY MIST PINK ECLIPSE 250ML</t>
        </is>
      </c>
      <c r="C1177" s="48" t="n">
        <v>250</v>
      </c>
      <c r="D1177" s="49" t="inlineStr">
        <is>
          <t>Árabe</t>
        </is>
      </c>
      <c r="E1177" s="50" t="n">
        <v>6.99</v>
      </c>
      <c r="F1177" s="51">
        <f>E1177*$B$5*(1+$B$6)</f>
        <v>9087</v>
      </c>
      <c r="G1177" s="51">
        <f>F1177*$B$7</f>
        <v>22717.5</v>
      </c>
      <c r="H1177" s="51">
        <f>G1177-F1177</f>
        <v>13630.5</v>
      </c>
      <c r="I1177" s="52">
        <f>H1177/G1177</f>
        <v>0.6</v>
      </c>
      <c r="J1177" s="53" t="n"/>
      <c r="K1177" s="54" t="n"/>
    </row>
    <row r="1178">
      <c r="A1178" s="39" t="inlineStr">
        <is>
          <t>Maison Alhambra</t>
        </is>
      </c>
      <c r="B1178" s="47" t="inlineStr">
        <is>
          <t>MAISON ALHAMBRA BODY MIST PINK SHIMMER SECRET 250ML</t>
        </is>
      </c>
      <c r="C1178" s="48" t="n">
        <v>250</v>
      </c>
      <c r="D1178" s="49" t="inlineStr">
        <is>
          <t>Árabe</t>
        </is>
      </c>
      <c r="E1178" s="50" t="n">
        <v>6.99</v>
      </c>
      <c r="F1178" s="51">
        <f>E1178*$B$5*(1+$B$6)</f>
        <v>9087</v>
      </c>
      <c r="G1178" s="51">
        <f>F1178*$B$7</f>
        <v>22717.5</v>
      </c>
      <c r="H1178" s="51">
        <f>G1178-F1178</f>
        <v>13630.5</v>
      </c>
      <c r="I1178" s="52">
        <f>H1178/G1178</f>
        <v>0.6</v>
      </c>
      <c r="J1178" s="53" t="n"/>
      <c r="K1178" s="54" t="n"/>
    </row>
    <row r="1179">
      <c r="A1179" s="39" t="inlineStr">
        <is>
          <t>Maison Alhambra</t>
        </is>
      </c>
      <c r="B1179" s="47" t="inlineStr">
        <is>
          <t>MAISON ALHAMBRA BODY MIST SO CANDID 250ML</t>
        </is>
      </c>
      <c r="C1179" s="48" t="n">
        <v>250</v>
      </c>
      <c r="D1179" s="49" t="inlineStr">
        <is>
          <t>Árabe</t>
        </is>
      </c>
      <c r="E1179" s="50" t="n">
        <v>6.99</v>
      </c>
      <c r="F1179" s="51">
        <f>E1179*$B$5*(1+$B$6)</f>
        <v>9087</v>
      </c>
      <c r="G1179" s="51">
        <f>F1179*$B$7</f>
        <v>22717.5</v>
      </c>
      <c r="H1179" s="51">
        <f>G1179-F1179</f>
        <v>13630.5</v>
      </c>
      <c r="I1179" s="52">
        <f>H1179/G1179</f>
        <v>0.6</v>
      </c>
      <c r="J1179" s="53" t="n"/>
      <c r="K1179" s="54" t="n"/>
    </row>
    <row r="1180">
      <c r="A1180" s="39" t="inlineStr">
        <is>
          <t>Maison Alhambra</t>
        </is>
      </c>
      <c r="B1180" s="47" t="inlineStr">
        <is>
          <t>MAISON ALHAMBRA CANDID TONIGHT EDP 100ML FEMININO</t>
        </is>
      </c>
      <c r="C1180" s="48" t="n">
        <v>100</v>
      </c>
      <c r="D1180" s="49" t="inlineStr">
        <is>
          <t>Árabe</t>
        </is>
      </c>
      <c r="E1180" s="50" t="n">
        <v>14</v>
      </c>
      <c r="F1180" s="51">
        <f>E1180*$B$5*(1+$B$6)</f>
        <v>18200</v>
      </c>
      <c r="G1180" s="51">
        <f>F1180*$B$7</f>
        <v>45500</v>
      </c>
      <c r="H1180" s="51">
        <f>G1180-F1180</f>
        <v>27300</v>
      </c>
      <c r="I1180" s="52">
        <f>H1180/G1180</f>
        <v>0.6</v>
      </c>
      <c r="J1180" s="53" t="n"/>
      <c r="K1180" s="54" t="n"/>
    </row>
    <row r="1181">
      <c r="A1181" s="39" t="inlineStr">
        <is>
          <t>Maison Alhambra</t>
        </is>
      </c>
      <c r="B1181" s="47" t="inlineStr">
        <is>
          <t>MAISON ALHAMBRA CASSIUS EDP 30ML</t>
        </is>
      </c>
      <c r="C1181" s="48" t="n">
        <v>30</v>
      </c>
      <c r="D1181" s="49" t="inlineStr">
        <is>
          <t>Árabe</t>
        </is>
      </c>
      <c r="E1181" s="50" t="n">
        <v>4.7</v>
      </c>
      <c r="F1181" s="51">
        <f>E1181*$B$5*(1+$B$6)</f>
        <v>6110</v>
      </c>
      <c r="G1181" s="51">
        <f>F1181*$B$7</f>
        <v>15275</v>
      </c>
      <c r="H1181" s="51">
        <f>G1181-F1181</f>
        <v>9165</v>
      </c>
      <c r="I1181" s="52">
        <f>H1181/G1181</f>
        <v>0.6</v>
      </c>
      <c r="J1181" s="53" t="n"/>
      <c r="K1181" s="54" t="n"/>
    </row>
    <row r="1182">
      <c r="A1182" s="39" t="inlineStr">
        <is>
          <t>Maison Alhambra</t>
        </is>
      </c>
      <c r="B1182" s="47" t="inlineStr">
        <is>
          <t>MAISON ALHAMBRA CHANTS TENDERINA EDP 100ML</t>
        </is>
      </c>
      <c r="C1182" s="48" t="n">
        <v>100</v>
      </c>
      <c r="D1182" s="49" t="inlineStr">
        <is>
          <t>Árabe</t>
        </is>
      </c>
      <c r="E1182" s="50" t="n">
        <v>12</v>
      </c>
      <c r="F1182" s="51">
        <f>E1182*$B$5*(1+$B$6)</f>
        <v>15600</v>
      </c>
      <c r="G1182" s="51">
        <f>F1182*$B$7</f>
        <v>39000</v>
      </c>
      <c r="H1182" s="51">
        <f>G1182-F1182</f>
        <v>23400</v>
      </c>
      <c r="I1182" s="52">
        <f>H1182/G1182</f>
        <v>0.6</v>
      </c>
      <c r="J1182" s="53" t="n"/>
      <c r="K1182" s="54" t="n"/>
    </row>
    <row r="1183">
      <c r="A1183" s="39" t="inlineStr">
        <is>
          <t>Maison Alhambra</t>
        </is>
      </c>
      <c r="B1183" s="47" t="inlineStr">
        <is>
          <t>MAISON ALHAMBRA DARK AOUD EDP 30ML</t>
        </is>
      </c>
      <c r="C1183" s="48" t="n">
        <v>30</v>
      </c>
      <c r="D1183" s="49" t="inlineStr">
        <is>
          <t>Árabe</t>
        </is>
      </c>
      <c r="E1183" s="50" t="n">
        <v>4.7</v>
      </c>
      <c r="F1183" s="51">
        <f>E1183*$B$5*(1+$B$6)</f>
        <v>6110</v>
      </c>
      <c r="G1183" s="51">
        <f>F1183*$B$7</f>
        <v>15275</v>
      </c>
      <c r="H1183" s="51">
        <f>G1183-F1183</f>
        <v>9165</v>
      </c>
      <c r="I1183" s="52">
        <f>H1183/G1183</f>
        <v>0.6</v>
      </c>
      <c r="J1183" s="53" t="n"/>
      <c r="K1183" s="54" t="n"/>
    </row>
    <row r="1184">
      <c r="A1184" s="39" t="inlineStr">
        <is>
          <t>Maison Alhambra</t>
        </is>
      </c>
      <c r="B1184" s="47" t="inlineStr">
        <is>
          <t>MAISON ALHAMBRA DARK AOUD EDP 80ML</t>
        </is>
      </c>
      <c r="C1184" s="48" t="n">
        <v>80</v>
      </c>
      <c r="D1184" s="49" t="inlineStr">
        <is>
          <t>Árabe</t>
        </is>
      </c>
      <c r="E1184" s="50" t="n">
        <v>13</v>
      </c>
      <c r="F1184" s="51">
        <f>E1184*$B$5*(1+$B$6)</f>
        <v>16900</v>
      </c>
      <c r="G1184" s="51">
        <f>F1184*$B$7</f>
        <v>42250</v>
      </c>
      <c r="H1184" s="51">
        <f>G1184-F1184</f>
        <v>25350</v>
      </c>
      <c r="I1184" s="52">
        <f>H1184/G1184</f>
        <v>0.6</v>
      </c>
      <c r="J1184" s="53" t="n"/>
      <c r="K1184" s="54" t="n"/>
    </row>
    <row r="1185">
      <c r="A1185" s="39" t="inlineStr">
        <is>
          <t>Maison Alhambra</t>
        </is>
      </c>
      <c r="B1185" s="47" t="inlineStr">
        <is>
          <t>MAISON ALHAMBRA DARK DOOR SPORT EDP 100ML</t>
        </is>
      </c>
      <c r="C1185" s="48" t="n">
        <v>100</v>
      </c>
      <c r="D1185" s="49" t="inlineStr">
        <is>
          <t>Árabe</t>
        </is>
      </c>
      <c r="E1185" s="50" t="n">
        <v>10.5</v>
      </c>
      <c r="F1185" s="51">
        <f>E1185*$B$5*(1+$B$6)</f>
        <v>13650</v>
      </c>
      <c r="G1185" s="51">
        <f>F1185*$B$7</f>
        <v>34125</v>
      </c>
      <c r="H1185" s="51">
        <f>G1185-F1185</f>
        <v>20475</v>
      </c>
      <c r="I1185" s="52">
        <f>H1185/G1185</f>
        <v>0.6</v>
      </c>
      <c r="J1185" s="53" t="n"/>
      <c r="K1185" s="54" t="n"/>
    </row>
    <row r="1186">
      <c r="A1186" s="39" t="inlineStr">
        <is>
          <t>Maison Alhambra</t>
        </is>
      </c>
      <c r="B1186" s="47" t="inlineStr">
        <is>
          <t>MAISON ALHAMBRA DELILAH BLANC EDP 100ML</t>
        </is>
      </c>
      <c r="C1186" s="48" t="n">
        <v>100</v>
      </c>
      <c r="D1186" s="49" t="inlineStr">
        <is>
          <t>Árabe</t>
        </is>
      </c>
      <c r="E1186" s="50" t="n">
        <v>21</v>
      </c>
      <c r="F1186" s="51">
        <f>E1186*$B$5*(1+$B$6)</f>
        <v>27300</v>
      </c>
      <c r="G1186" s="51">
        <f>F1186*$B$7</f>
        <v>68250</v>
      </c>
      <c r="H1186" s="51">
        <f>G1186-F1186</f>
        <v>40950</v>
      </c>
      <c r="I1186" s="52">
        <f>H1186/G1186</f>
        <v>0.6</v>
      </c>
      <c r="J1186" s="53" t="n"/>
      <c r="K1186" s="54" t="n"/>
    </row>
    <row r="1187">
      <c r="A1187" s="39" t="inlineStr">
        <is>
          <t>Maison Alhambra</t>
        </is>
      </c>
      <c r="B1187" s="47" t="inlineStr">
        <is>
          <t>MAISON ALHAMBRA DELILAH POUR FEMME EDP 100ML</t>
        </is>
      </c>
      <c r="C1187" s="48" t="n">
        <v>100</v>
      </c>
      <c r="D1187" s="49" t="inlineStr">
        <is>
          <t>Árabe</t>
        </is>
      </c>
      <c r="E1187" s="50" t="n">
        <v>19.5</v>
      </c>
      <c r="F1187" s="51">
        <f>E1187*$B$5*(1+$B$6)</f>
        <v>25350</v>
      </c>
      <c r="G1187" s="51">
        <f>F1187*$B$7</f>
        <v>63375</v>
      </c>
      <c r="H1187" s="51">
        <f>G1187-F1187</f>
        <v>38025</v>
      </c>
      <c r="I1187" s="52">
        <f>H1187/G1187</f>
        <v>0.6</v>
      </c>
      <c r="J1187" s="53" t="n"/>
      <c r="K1187" s="54" t="n"/>
    </row>
    <row r="1188">
      <c r="A1188" s="39" t="inlineStr">
        <is>
          <t>Maison Alhambra</t>
        </is>
      </c>
      <c r="B1188" s="47" t="inlineStr">
        <is>
          <t>MAISON ALHAMBRA FLINT EDP 80ML</t>
        </is>
      </c>
      <c r="C1188" s="48" t="n">
        <v>80</v>
      </c>
      <c r="D1188" s="49" t="inlineStr">
        <is>
          <t>Árabe</t>
        </is>
      </c>
      <c r="E1188" s="50" t="n">
        <v>12</v>
      </c>
      <c r="F1188" s="51">
        <f>E1188*$B$5*(1+$B$6)</f>
        <v>15600</v>
      </c>
      <c r="G1188" s="51">
        <f>F1188*$B$7</f>
        <v>39000</v>
      </c>
      <c r="H1188" s="51">
        <f>G1188-F1188</f>
        <v>23400</v>
      </c>
      <c r="I1188" s="52">
        <f>H1188/G1188</f>
        <v>0.6</v>
      </c>
      <c r="J1188" s="53" t="n"/>
      <c r="K1188" s="54" t="n"/>
    </row>
    <row r="1189">
      <c r="A1189" s="39" t="inlineStr">
        <is>
          <t>Maison Alhambra</t>
        </is>
      </c>
      <c r="B1189" s="47" t="inlineStr">
        <is>
          <t>MAISON ALHAMBRA FLORENZA EDP 30ML</t>
        </is>
      </c>
      <c r="C1189" s="48" t="n">
        <v>30</v>
      </c>
      <c r="D1189" s="49" t="inlineStr">
        <is>
          <t>Árabe</t>
        </is>
      </c>
      <c r="E1189" s="50" t="n">
        <v>4.7</v>
      </c>
      <c r="F1189" s="51">
        <f>E1189*$B$5*(1+$B$6)</f>
        <v>6110</v>
      </c>
      <c r="G1189" s="51">
        <f>F1189*$B$7</f>
        <v>15275</v>
      </c>
      <c r="H1189" s="51">
        <f>G1189-F1189</f>
        <v>9165</v>
      </c>
      <c r="I1189" s="52">
        <f>H1189/G1189</f>
        <v>0.6</v>
      </c>
      <c r="J1189" s="53" t="n"/>
      <c r="K1189" s="54" t="n"/>
    </row>
    <row r="1190">
      <c r="A1190" s="39" t="inlineStr">
        <is>
          <t>Maison Alhambra</t>
        </is>
      </c>
      <c r="B1190" s="47" t="inlineStr">
        <is>
          <t>MAISON ALHAMBRA FORBIDDEN LOVE EDP 30ML</t>
        </is>
      </c>
      <c r="C1190" s="48" t="n">
        <v>30</v>
      </c>
      <c r="D1190" s="49" t="inlineStr">
        <is>
          <t>Árabe</t>
        </is>
      </c>
      <c r="E1190" s="50" t="n">
        <v>4.7</v>
      </c>
      <c r="F1190" s="51">
        <f>E1190*$B$5*(1+$B$6)</f>
        <v>6110</v>
      </c>
      <c r="G1190" s="51">
        <f>F1190*$B$7</f>
        <v>15275</v>
      </c>
      <c r="H1190" s="51">
        <f>G1190-F1190</f>
        <v>9165</v>
      </c>
      <c r="I1190" s="52">
        <f>H1190/G1190</f>
        <v>0.6</v>
      </c>
      <c r="J1190" s="53" t="n"/>
      <c r="K1190" s="54" t="n"/>
    </row>
    <row r="1191">
      <c r="A1191" s="39" t="inlineStr">
        <is>
          <t>Maison Alhambra</t>
        </is>
      </c>
      <c r="B1191" s="47" t="inlineStr">
        <is>
          <t>MAISON ALHAMBRA FUSION INTENSE 30ML</t>
        </is>
      </c>
      <c r="C1191" s="48" t="n">
        <v>30</v>
      </c>
      <c r="D1191" s="49" t="inlineStr">
        <is>
          <t>Árabe</t>
        </is>
      </c>
      <c r="E1191" s="50" t="n">
        <v>4.7</v>
      </c>
      <c r="F1191" s="51">
        <f>E1191*$B$5*(1+$B$6)</f>
        <v>6110</v>
      </c>
      <c r="G1191" s="51">
        <f>F1191*$B$7</f>
        <v>15275</v>
      </c>
      <c r="H1191" s="51">
        <f>G1191-F1191</f>
        <v>9165</v>
      </c>
      <c r="I1191" s="52">
        <f>H1191/G1191</f>
        <v>0.6</v>
      </c>
      <c r="J1191" s="53" t="n"/>
      <c r="K1191" s="54" t="n"/>
    </row>
    <row r="1192">
      <c r="A1192" s="39" t="inlineStr">
        <is>
          <t>Maison Alhambra</t>
        </is>
      </c>
      <c r="B1192" s="47" t="inlineStr">
        <is>
          <t>MAISON ALHAMBRA GALACTIC MEN INTENSE EDP 100ML MASCULINO</t>
        </is>
      </c>
      <c r="C1192" s="48" t="n">
        <v>100</v>
      </c>
      <c r="D1192" s="49" t="inlineStr">
        <is>
          <t>Árabe</t>
        </is>
      </c>
      <c r="E1192" s="50" t="n">
        <v>9.9</v>
      </c>
      <c r="F1192" s="51">
        <f>E1192*$B$5*(1+$B$6)</f>
        <v>12870</v>
      </c>
      <c r="G1192" s="51">
        <f>F1192*$B$7</f>
        <v>32175</v>
      </c>
      <c r="H1192" s="51">
        <f>G1192-F1192</f>
        <v>19305</v>
      </c>
      <c r="I1192" s="52">
        <f>H1192/G1192</f>
        <v>0.6</v>
      </c>
      <c r="J1192" s="53" t="n"/>
      <c r="K1192" s="54" t="n"/>
    </row>
    <row r="1193">
      <c r="A1193" s="39" t="inlineStr">
        <is>
          <t>Maison Alhambra</t>
        </is>
      </c>
      <c r="B1193" s="47" t="inlineStr">
        <is>
          <t>MAISON ALHAMBRA GLACIER BELLA EDP 100ML</t>
        </is>
      </c>
      <c r="C1193" s="48" t="n">
        <v>100</v>
      </c>
      <c r="D1193" s="49" t="inlineStr">
        <is>
          <t>Árabe</t>
        </is>
      </c>
      <c r="E1193" s="50" t="n">
        <v>12</v>
      </c>
      <c r="F1193" s="51">
        <f>E1193*$B$5*(1+$B$6)</f>
        <v>15600</v>
      </c>
      <c r="G1193" s="51">
        <f>F1193*$B$7</f>
        <v>39000</v>
      </c>
      <c r="H1193" s="51">
        <f>G1193-F1193</f>
        <v>23400</v>
      </c>
      <c r="I1193" s="52">
        <f>H1193/G1193</f>
        <v>0.6</v>
      </c>
      <c r="J1193" s="53" t="n"/>
      <c r="K1193" s="54" t="n"/>
    </row>
    <row r="1194">
      <c r="A1194" s="39" t="inlineStr">
        <is>
          <t>Maison Alhambra</t>
        </is>
      </c>
      <c r="B1194" s="47" t="inlineStr">
        <is>
          <t>MAISON ALHAMBRA GLACIER BOLD EDP 100ML</t>
        </is>
      </c>
      <c r="C1194" s="48" t="n">
        <v>100</v>
      </c>
      <c r="D1194" s="49" t="inlineStr">
        <is>
          <t>Árabe</t>
        </is>
      </c>
      <c r="E1194" s="50" t="n">
        <v>13</v>
      </c>
      <c r="F1194" s="51">
        <f>E1194*$B$5*(1+$B$6)</f>
        <v>16900</v>
      </c>
      <c r="G1194" s="51">
        <f>F1194*$B$7</f>
        <v>42250</v>
      </c>
      <c r="H1194" s="51">
        <f>G1194-F1194</f>
        <v>25350</v>
      </c>
      <c r="I1194" s="52">
        <f>H1194/G1194</f>
        <v>0.6</v>
      </c>
      <c r="J1194" s="53" t="n"/>
      <c r="K1194" s="54" t="n"/>
    </row>
    <row r="1195">
      <c r="A1195" s="39" t="inlineStr">
        <is>
          <t>Maison Alhambra</t>
        </is>
      </c>
      <c r="B1195" s="47" t="inlineStr">
        <is>
          <t>MAISON ALHAMBRA GLACIER GOLD EDP 30ML</t>
        </is>
      </c>
      <c r="C1195" s="48" t="n">
        <v>30</v>
      </c>
      <c r="D1195" s="49" t="inlineStr">
        <is>
          <t>Árabe</t>
        </is>
      </c>
      <c r="E1195" s="50" t="n">
        <v>4.7</v>
      </c>
      <c r="F1195" s="51">
        <f>E1195*$B$5*(1+$B$6)</f>
        <v>6110</v>
      </c>
      <c r="G1195" s="51">
        <f>F1195*$B$7</f>
        <v>15275</v>
      </c>
      <c r="H1195" s="51">
        <f>G1195-F1195</f>
        <v>9165</v>
      </c>
      <c r="I1195" s="52">
        <f>H1195/G1195</f>
        <v>0.6</v>
      </c>
      <c r="J1195" s="53" t="n"/>
      <c r="K1195" s="54" t="n"/>
    </row>
    <row r="1196">
      <c r="A1196" s="39" t="inlineStr">
        <is>
          <t>Maison Alhambra</t>
        </is>
      </c>
      <c r="B1196" s="47" t="inlineStr">
        <is>
          <t>MAISON ALHAMBRA GLACIER POUR HOMME EDP 100ML</t>
        </is>
      </c>
      <c r="C1196" s="48" t="n">
        <v>100</v>
      </c>
      <c r="D1196" s="49" t="inlineStr">
        <is>
          <t>Árabe</t>
        </is>
      </c>
      <c r="E1196" s="50" t="n">
        <v>12</v>
      </c>
      <c r="F1196" s="51">
        <f>E1196*$B$5*(1+$B$6)</f>
        <v>15600</v>
      </c>
      <c r="G1196" s="51">
        <f>F1196*$B$7</f>
        <v>39000</v>
      </c>
      <c r="H1196" s="51">
        <f>G1196-F1196</f>
        <v>23400</v>
      </c>
      <c r="I1196" s="52">
        <f>H1196/G1196</f>
        <v>0.6</v>
      </c>
      <c r="J1196" s="53" t="n"/>
      <c r="K1196" s="54" t="n"/>
    </row>
    <row r="1197">
      <c r="A1197" s="39" t="inlineStr">
        <is>
          <t>Maison Alhambra</t>
        </is>
      </c>
      <c r="B1197" s="47" t="inlineStr">
        <is>
          <t>MAISON ALHAMBRA GLACIER ULTRA EDP 100ML</t>
        </is>
      </c>
      <c r="C1197" s="48" t="n">
        <v>100</v>
      </c>
      <c r="D1197" s="49" t="inlineStr">
        <is>
          <t>Árabe</t>
        </is>
      </c>
      <c r="E1197" s="50" t="n">
        <v>12.5</v>
      </c>
      <c r="F1197" s="51">
        <f>E1197*$B$5*(1+$B$6)</f>
        <v>16250</v>
      </c>
      <c r="G1197" s="51">
        <f>F1197*$B$7</f>
        <v>40625</v>
      </c>
      <c r="H1197" s="51">
        <f>G1197-F1197</f>
        <v>24375</v>
      </c>
      <c r="I1197" s="52">
        <f>H1197/G1197</f>
        <v>0.6</v>
      </c>
      <c r="J1197" s="53" t="n"/>
      <c r="K1197" s="54" t="n"/>
    </row>
    <row r="1198">
      <c r="A1198" s="39" t="inlineStr">
        <is>
          <t>Maison Alhambra</t>
        </is>
      </c>
      <c r="B1198" s="47" t="inlineStr">
        <is>
          <t>MAISON ALHAMBRA JEAN LOWE AZURE EDP 100ML</t>
        </is>
      </c>
      <c r="C1198" s="48" t="n">
        <v>100</v>
      </c>
      <c r="D1198" s="49" t="inlineStr">
        <is>
          <t>Árabe</t>
        </is>
      </c>
      <c r="E1198" s="50" t="n">
        <v>24</v>
      </c>
      <c r="F1198" s="51">
        <f>E1198*$B$5*(1+$B$6)</f>
        <v>31200</v>
      </c>
      <c r="G1198" s="51">
        <f>F1198*$B$7</f>
        <v>78000</v>
      </c>
      <c r="H1198" s="51">
        <f>G1198-F1198</f>
        <v>46800</v>
      </c>
      <c r="I1198" s="52">
        <f>H1198/G1198</f>
        <v>0.6</v>
      </c>
      <c r="J1198" s="53" t="n"/>
      <c r="K1198" s="54" t="n"/>
    </row>
    <row r="1199">
      <c r="A1199" s="39" t="inlineStr">
        <is>
          <t>Maison Alhambra</t>
        </is>
      </c>
      <c r="B1199" s="47" t="inlineStr">
        <is>
          <t>MAISON ALHAMBRA JEAN LOWE FRAICHE EDP 100ML</t>
        </is>
      </c>
      <c r="C1199" s="48" t="n">
        <v>100</v>
      </c>
      <c r="D1199" s="49" t="inlineStr">
        <is>
          <t>Árabe</t>
        </is>
      </c>
      <c r="E1199" s="50" t="n">
        <v>14.75</v>
      </c>
      <c r="F1199" s="51">
        <f>E1199*$B$5*(1+$B$6)</f>
        <v>19175</v>
      </c>
      <c r="G1199" s="51">
        <f>F1199*$B$7</f>
        <v>47937.5</v>
      </c>
      <c r="H1199" s="51">
        <f>G1199-F1199</f>
        <v>28762.5</v>
      </c>
      <c r="I1199" s="52">
        <f>H1199/G1199</f>
        <v>0.6</v>
      </c>
      <c r="J1199" s="53" t="n"/>
      <c r="K1199" s="54" t="n"/>
    </row>
    <row r="1200">
      <c r="A1200" s="39" t="inlineStr">
        <is>
          <t>Maison Alhambra</t>
        </is>
      </c>
      <c r="B1200" s="47" t="inlineStr">
        <is>
          <t>MAISON ALHAMBRA JEAN LOWE IMMORTAL EDP 100ML</t>
        </is>
      </c>
      <c r="C1200" s="48" t="n">
        <v>100</v>
      </c>
      <c r="D1200" s="49" t="inlineStr">
        <is>
          <t>Árabe</t>
        </is>
      </c>
      <c r="E1200" s="50" t="n">
        <v>16.75</v>
      </c>
      <c r="F1200" s="51">
        <f>E1200*$B$5*(1+$B$6)</f>
        <v>21775</v>
      </c>
      <c r="G1200" s="51">
        <f>F1200*$B$7</f>
        <v>54437.5</v>
      </c>
      <c r="H1200" s="51">
        <f>G1200-F1200</f>
        <v>32662.5</v>
      </c>
      <c r="I1200" s="52">
        <f>H1200/G1200</f>
        <v>0.6</v>
      </c>
      <c r="J1200" s="53" t="n"/>
      <c r="K1200" s="54" t="n"/>
    </row>
    <row r="1201">
      <c r="A1201" s="39" t="inlineStr">
        <is>
          <t>Maison Alhambra</t>
        </is>
      </c>
      <c r="B1201" s="47" t="inlineStr">
        <is>
          <t>MAISON ALHAMBRA JEAN LOWE IMMORTAL EDP 30ML</t>
        </is>
      </c>
      <c r="C1201" s="48" t="n">
        <v>30</v>
      </c>
      <c r="D1201" s="49" t="inlineStr">
        <is>
          <t>Árabe</t>
        </is>
      </c>
      <c r="E1201" s="50" t="n">
        <v>4.7</v>
      </c>
      <c r="F1201" s="51">
        <f>E1201*$B$5*(1+$B$6)</f>
        <v>6110</v>
      </c>
      <c r="G1201" s="51">
        <f>F1201*$B$7</f>
        <v>15275</v>
      </c>
      <c r="H1201" s="51">
        <f>G1201-F1201</f>
        <v>9165</v>
      </c>
      <c r="I1201" s="52">
        <f>H1201/G1201</f>
        <v>0.6</v>
      </c>
      <c r="J1201" s="53" t="n"/>
      <c r="K1201" s="54" t="n"/>
    </row>
    <row r="1202">
      <c r="A1202" s="39" t="inlineStr">
        <is>
          <t>Maison Alhambra</t>
        </is>
      </c>
      <c r="B1202" s="47" t="inlineStr">
        <is>
          <t>MAISON ALHAMBRA JEAN LOWE MAITRE EDP 100ML</t>
        </is>
      </c>
      <c r="C1202" s="48" t="n">
        <v>100</v>
      </c>
      <c r="D1202" s="49" t="inlineStr">
        <is>
          <t>Árabe</t>
        </is>
      </c>
      <c r="E1202" s="50" t="n">
        <v>15.5</v>
      </c>
      <c r="F1202" s="51">
        <f>E1202*$B$5*(1+$B$6)</f>
        <v>20150</v>
      </c>
      <c r="G1202" s="51">
        <f>F1202*$B$7</f>
        <v>50375</v>
      </c>
      <c r="H1202" s="51">
        <f>G1202-F1202</f>
        <v>30225</v>
      </c>
      <c r="I1202" s="52">
        <f>H1202/G1202</f>
        <v>0.6</v>
      </c>
      <c r="J1202" s="53" t="n"/>
      <c r="K1202" s="54" t="n"/>
    </row>
    <row r="1203">
      <c r="A1203" s="39" t="inlineStr">
        <is>
          <t>Maison Alhambra</t>
        </is>
      </c>
      <c r="B1203" s="47" t="inlineStr">
        <is>
          <t>MAISON ALHAMBRA JEAN LOWE NOIR EDP 30ML</t>
        </is>
      </c>
      <c r="C1203" s="48" t="n">
        <v>30</v>
      </c>
      <c r="D1203" s="49" t="inlineStr">
        <is>
          <t>Árabe</t>
        </is>
      </c>
      <c r="E1203" s="50" t="n">
        <v>4.7</v>
      </c>
      <c r="F1203" s="51">
        <f>E1203*$B$5*(1+$B$6)</f>
        <v>6110</v>
      </c>
      <c r="G1203" s="51">
        <f>F1203*$B$7</f>
        <v>15275</v>
      </c>
      <c r="H1203" s="51">
        <f>G1203-F1203</f>
        <v>9165</v>
      </c>
      <c r="I1203" s="52">
        <f>H1203/G1203</f>
        <v>0.6</v>
      </c>
      <c r="J1203" s="53" t="n"/>
      <c r="K1203" s="54" t="n"/>
    </row>
    <row r="1204">
      <c r="A1204" s="39" t="inlineStr">
        <is>
          <t>Maison Alhambra</t>
        </is>
      </c>
      <c r="B1204" s="47" t="inlineStr">
        <is>
          <t>MAISON ALHAMBRA JEAN LOWE VIBE EDP 100ML</t>
        </is>
      </c>
      <c r="C1204" s="48" t="n">
        <v>100</v>
      </c>
      <c r="D1204" s="49" t="inlineStr">
        <is>
          <t>Árabe</t>
        </is>
      </c>
      <c r="E1204" s="50" t="n">
        <v>21</v>
      </c>
      <c r="F1204" s="51">
        <f>E1204*$B$5*(1+$B$6)</f>
        <v>27300</v>
      </c>
      <c r="G1204" s="51">
        <f>F1204*$B$7</f>
        <v>68250</v>
      </c>
      <c r="H1204" s="51">
        <f>G1204-F1204</f>
        <v>40950</v>
      </c>
      <c r="I1204" s="52">
        <f>H1204/G1204</f>
        <v>0.6</v>
      </c>
      <c r="J1204" s="53" t="n"/>
      <c r="K1204" s="54" t="n"/>
    </row>
    <row r="1205">
      <c r="A1205" s="39" t="inlineStr">
        <is>
          <t>Maison Alhambra</t>
        </is>
      </c>
      <c r="B1205" s="47" t="inlineStr">
        <is>
          <t>MAISON ALHAMBRA JORGE DI PROFUMO (BLACK) EDP 100ML</t>
        </is>
      </c>
      <c r="C1205" s="48" t="n">
        <v>100</v>
      </c>
      <c r="D1205" s="49" t="inlineStr">
        <is>
          <t>Árabe</t>
        </is>
      </c>
      <c r="E1205" s="50" t="n">
        <v>11.9</v>
      </c>
      <c r="F1205" s="51">
        <f>E1205*$B$5*(1+$B$6)</f>
        <v>15470</v>
      </c>
      <c r="G1205" s="51">
        <f>F1205*$B$7</f>
        <v>38675</v>
      </c>
      <c r="H1205" s="51">
        <f>G1205-F1205</f>
        <v>23205</v>
      </c>
      <c r="I1205" s="52">
        <f>H1205/G1205</f>
        <v>0.6</v>
      </c>
      <c r="J1205" s="53" t="n"/>
      <c r="K1205" s="54" t="n"/>
    </row>
    <row r="1206">
      <c r="A1206" s="39" t="inlineStr">
        <is>
          <t>Maison Alhambra</t>
        </is>
      </c>
      <c r="B1206" s="47" t="inlineStr">
        <is>
          <t>MAISON ALHAMBRA JORGE DI PROFUMO DEEP BLUE EDP 100ML</t>
        </is>
      </c>
      <c r="C1206" s="48" t="n">
        <v>100</v>
      </c>
      <c r="D1206" s="49" t="inlineStr">
        <is>
          <t>Árabe</t>
        </is>
      </c>
      <c r="E1206" s="50" t="n">
        <v>11</v>
      </c>
      <c r="F1206" s="51">
        <f>E1206*$B$5*(1+$B$6)</f>
        <v>14300</v>
      </c>
      <c r="G1206" s="51">
        <f>F1206*$B$7</f>
        <v>35750</v>
      </c>
      <c r="H1206" s="51">
        <f>G1206-F1206</f>
        <v>21450</v>
      </c>
      <c r="I1206" s="52">
        <f>H1206/G1206</f>
        <v>0.6</v>
      </c>
      <c r="J1206" s="53" t="n"/>
      <c r="K1206" s="54" t="n"/>
    </row>
    <row r="1207">
      <c r="A1207" s="39" t="inlineStr">
        <is>
          <t>Maison Alhambra</t>
        </is>
      </c>
      <c r="B1207" s="47" t="inlineStr">
        <is>
          <t>MAISON ALHAMBRA JORGE DI PROFUMO EDP 30ML</t>
        </is>
      </c>
      <c r="C1207" s="48" t="n">
        <v>30</v>
      </c>
      <c r="D1207" s="49" t="inlineStr">
        <is>
          <t>Árabe</t>
        </is>
      </c>
      <c r="E1207" s="50" t="n">
        <v>4.7</v>
      </c>
      <c r="F1207" s="51">
        <f>E1207*$B$5*(1+$B$6)</f>
        <v>6110</v>
      </c>
      <c r="G1207" s="51">
        <f>F1207*$B$7</f>
        <v>15275</v>
      </c>
      <c r="H1207" s="51">
        <f>G1207-F1207</f>
        <v>9165</v>
      </c>
      <c r="I1207" s="52">
        <f>H1207/G1207</f>
        <v>0.6</v>
      </c>
      <c r="J1207" s="53" t="n"/>
      <c r="K1207" s="54" t="n"/>
    </row>
    <row r="1208">
      <c r="A1208" s="39" t="inlineStr">
        <is>
          <t>Maison Alhambra</t>
        </is>
      </c>
      <c r="B1208" s="47" t="inlineStr">
        <is>
          <t>MAISON ALHAMBRA JUBILANT NOIR 30ML</t>
        </is>
      </c>
      <c r="C1208" s="48" t="n">
        <v>30</v>
      </c>
      <c r="D1208" s="49" t="inlineStr">
        <is>
          <t>Árabe</t>
        </is>
      </c>
      <c r="E1208" s="50" t="n">
        <v>4.7</v>
      </c>
      <c r="F1208" s="51">
        <f>E1208*$B$5*(1+$B$6)</f>
        <v>6110</v>
      </c>
      <c r="G1208" s="51">
        <f>F1208*$B$7</f>
        <v>15275</v>
      </c>
      <c r="H1208" s="51">
        <f>G1208-F1208</f>
        <v>9165</v>
      </c>
      <c r="I1208" s="52">
        <f>H1208/G1208</f>
        <v>0.6</v>
      </c>
      <c r="J1208" s="53" t="n"/>
      <c r="K1208" s="54" t="n"/>
    </row>
    <row r="1209">
      <c r="A1209" s="39" t="inlineStr">
        <is>
          <t>Maison Alhambra</t>
        </is>
      </c>
      <c r="B1209" s="47" t="inlineStr">
        <is>
          <t>MAISON ALHAMBRA JUBILANT ORO 30ML</t>
        </is>
      </c>
      <c r="C1209" s="48" t="n">
        <v>30</v>
      </c>
      <c r="D1209" s="49" t="inlineStr">
        <is>
          <t>Árabe</t>
        </is>
      </c>
      <c r="E1209" s="50" t="n">
        <v>4.7</v>
      </c>
      <c r="F1209" s="51">
        <f>E1209*$B$5*(1+$B$6)</f>
        <v>6110</v>
      </c>
      <c r="G1209" s="51">
        <f>F1209*$B$7</f>
        <v>15275</v>
      </c>
      <c r="H1209" s="51">
        <f>G1209-F1209</f>
        <v>9165</v>
      </c>
      <c r="I1209" s="52">
        <f>H1209/G1209</f>
        <v>0.6</v>
      </c>
      <c r="J1209" s="53" t="n"/>
      <c r="K1209" s="54" t="n"/>
    </row>
    <row r="1210">
      <c r="A1210" s="39" t="inlineStr">
        <is>
          <t>Maison Alhambra</t>
        </is>
      </c>
      <c r="B1210" s="47" t="inlineStr">
        <is>
          <t>MAISON ALHAMBRA JUBILANT ROSE 30ML</t>
        </is>
      </c>
      <c r="C1210" s="48" t="n">
        <v>30</v>
      </c>
      <c r="D1210" s="49" t="inlineStr">
        <is>
          <t>Árabe</t>
        </is>
      </c>
      <c r="E1210" s="50" t="n">
        <v>4.49</v>
      </c>
      <c r="F1210" s="51">
        <f>E1210*$B$5*(1+$B$6)</f>
        <v>5837</v>
      </c>
      <c r="G1210" s="51">
        <f>F1210*$B$7</f>
        <v>14592.5</v>
      </c>
      <c r="H1210" s="51">
        <f>G1210-F1210</f>
        <v>8755.5</v>
      </c>
      <c r="I1210" s="52">
        <f>H1210/G1210</f>
        <v>0.6</v>
      </c>
      <c r="J1210" s="53" t="n"/>
      <c r="K1210" s="54" t="n"/>
    </row>
    <row r="1211">
      <c r="A1211" s="39" t="inlineStr">
        <is>
          <t>Maison Alhambra</t>
        </is>
      </c>
      <c r="B1211" s="47" t="inlineStr">
        <is>
          <t>MAISON ALHAMBRA JUBILANT VITALITY EDP 100ML</t>
        </is>
      </c>
      <c r="C1211" s="48" t="n">
        <v>100</v>
      </c>
      <c r="D1211" s="49" t="inlineStr">
        <is>
          <t>Árabe</t>
        </is>
      </c>
      <c r="E1211" s="50" t="n">
        <v>10.5</v>
      </c>
      <c r="F1211" s="51">
        <f>E1211*$B$5*(1+$B$6)</f>
        <v>13650</v>
      </c>
      <c r="G1211" s="51">
        <f>F1211*$B$7</f>
        <v>34125</v>
      </c>
      <c r="H1211" s="51">
        <f>G1211-F1211</f>
        <v>20475</v>
      </c>
      <c r="I1211" s="52">
        <f>H1211/G1211</f>
        <v>0.6</v>
      </c>
      <c r="J1211" s="53" t="n"/>
      <c r="K1211" s="54" t="n"/>
    </row>
    <row r="1212">
      <c r="A1212" s="39" t="inlineStr">
        <is>
          <t>Maison Alhambra</t>
        </is>
      </c>
      <c r="B1212" s="47" t="inlineStr">
        <is>
          <t>MAISON ALHAMBRA KINGSMAN EDP 100ML</t>
        </is>
      </c>
      <c r="C1212" s="48" t="n">
        <v>100</v>
      </c>
      <c r="D1212" s="49" t="inlineStr">
        <is>
          <t>Árabe</t>
        </is>
      </c>
      <c r="E1212" s="50" t="n">
        <v>12.5</v>
      </c>
      <c r="F1212" s="51">
        <f>E1212*$B$5*(1+$B$6)</f>
        <v>16250</v>
      </c>
      <c r="G1212" s="51">
        <f>F1212*$B$7</f>
        <v>40625</v>
      </c>
      <c r="H1212" s="51">
        <f>G1212-F1212</f>
        <v>24375</v>
      </c>
      <c r="I1212" s="52">
        <f>H1212/G1212</f>
        <v>0.6</v>
      </c>
      <c r="J1212" s="53" t="n"/>
      <c r="K1212" s="54" t="n"/>
    </row>
    <row r="1213">
      <c r="A1213" s="39" t="inlineStr">
        <is>
          <t>Maison Alhambra</t>
        </is>
      </c>
      <c r="B1213" s="47" t="inlineStr">
        <is>
          <t>MAISON ALHAMBRA KISMET FOR WOMEN EDP 30ML</t>
        </is>
      </c>
      <c r="C1213" s="48" t="n">
        <v>30</v>
      </c>
      <c r="D1213" s="49" t="inlineStr">
        <is>
          <t>Árabe</t>
        </is>
      </c>
      <c r="E1213" s="50" t="n">
        <v>4.7</v>
      </c>
      <c r="F1213" s="51">
        <f>E1213*$B$5*(1+$B$6)</f>
        <v>6110</v>
      </c>
      <c r="G1213" s="51">
        <f>F1213*$B$7</f>
        <v>15275</v>
      </c>
      <c r="H1213" s="51">
        <f>G1213-F1213</f>
        <v>9165</v>
      </c>
      <c r="I1213" s="52">
        <f>H1213/G1213</f>
        <v>0.6</v>
      </c>
      <c r="J1213" s="53" t="n"/>
      <c r="K1213" s="54" t="n"/>
    </row>
    <row r="1214">
      <c r="A1214" s="39" t="inlineStr">
        <is>
          <t>Maison Alhambra</t>
        </is>
      </c>
      <c r="B1214" s="47" t="inlineStr">
        <is>
          <t>MAISON ALHAMBRA KISMET LUNAR MAGIC 100ML</t>
        </is>
      </c>
      <c r="C1214" s="48" t="n">
        <v>100</v>
      </c>
      <c r="D1214" s="49" t="inlineStr">
        <is>
          <t>Árabe</t>
        </is>
      </c>
      <c r="E1214" s="50" t="n">
        <v>13.5</v>
      </c>
      <c r="F1214" s="51">
        <f>E1214*$B$5*(1+$B$6)</f>
        <v>17550</v>
      </c>
      <c r="G1214" s="51">
        <f>F1214*$B$7</f>
        <v>43875</v>
      </c>
      <c r="H1214" s="51">
        <f>G1214-F1214</f>
        <v>26325</v>
      </c>
      <c r="I1214" s="52">
        <f>H1214/G1214</f>
        <v>0.6</v>
      </c>
      <c r="J1214" s="53" t="n"/>
      <c r="K1214" s="54" t="n"/>
    </row>
    <row r="1215">
      <c r="A1215" s="39" t="inlineStr">
        <is>
          <t>Maison Alhambra</t>
        </is>
      </c>
      <c r="B1215" s="47" t="inlineStr">
        <is>
          <t>MAISON ALHAMBRA L'INTRUDE EDP 100ML</t>
        </is>
      </c>
      <c r="C1215" s="48" t="n">
        <v>100</v>
      </c>
      <c r="D1215" s="49" t="inlineStr">
        <is>
          <t>Árabe</t>
        </is>
      </c>
      <c r="E1215" s="50" t="n">
        <v>14</v>
      </c>
      <c r="F1215" s="51">
        <f>E1215*$B$5*(1+$B$6)</f>
        <v>18200</v>
      </c>
      <c r="G1215" s="51">
        <f>F1215*$B$7</f>
        <v>45500</v>
      </c>
      <c r="H1215" s="51">
        <f>G1215-F1215</f>
        <v>27300</v>
      </c>
      <c r="I1215" s="52">
        <f>H1215/G1215</f>
        <v>0.6</v>
      </c>
      <c r="J1215" s="53" t="n"/>
      <c r="K1215" s="54" t="n"/>
    </row>
    <row r="1216">
      <c r="A1216" s="39" t="inlineStr">
        <is>
          <t>Maison Alhambra</t>
        </is>
      </c>
      <c r="B1216" s="47" t="inlineStr">
        <is>
          <t>MAISON ALHAMBRA LA CHARMANTE 100ML (VERDE)</t>
        </is>
      </c>
      <c r="C1216" s="48" t="n">
        <v>100</v>
      </c>
      <c r="D1216" s="49" t="inlineStr">
        <is>
          <t>Árabe</t>
        </is>
      </c>
      <c r="E1216" s="50" t="n">
        <v>12.5</v>
      </c>
      <c r="F1216" s="51">
        <f>E1216*$B$5*(1+$B$6)</f>
        <v>16250</v>
      </c>
      <c r="G1216" s="51">
        <f>F1216*$B$7</f>
        <v>40625</v>
      </c>
      <c r="H1216" s="51">
        <f>G1216-F1216</f>
        <v>24375</v>
      </c>
      <c r="I1216" s="52">
        <f>H1216/G1216</f>
        <v>0.6</v>
      </c>
      <c r="J1216" s="53" t="n"/>
      <c r="K1216" s="54" t="n"/>
    </row>
    <row r="1217">
      <c r="A1217" s="39" t="inlineStr">
        <is>
          <t>Maison Alhambra</t>
        </is>
      </c>
      <c r="B1217" s="47" t="inlineStr">
        <is>
          <t>MAISON ALHAMBRA LA ROUGE BAROQUE (BRANCO) EDP 100ML</t>
        </is>
      </c>
      <c r="C1217" s="48" t="n">
        <v>100</v>
      </c>
      <c r="D1217" s="49" t="inlineStr">
        <is>
          <t>Árabe</t>
        </is>
      </c>
      <c r="E1217" s="50" t="n">
        <v>10.5</v>
      </c>
      <c r="F1217" s="51">
        <f>E1217*$B$5*(1+$B$6)</f>
        <v>13650</v>
      </c>
      <c r="G1217" s="51">
        <f>F1217*$B$7</f>
        <v>34125</v>
      </c>
      <c r="H1217" s="51">
        <f>G1217-F1217</f>
        <v>20475</v>
      </c>
      <c r="I1217" s="52">
        <f>H1217/G1217</f>
        <v>0.6</v>
      </c>
      <c r="J1217" s="53" t="n"/>
      <c r="K1217" s="54" t="n"/>
    </row>
    <row r="1218">
      <c r="A1218" s="39" t="inlineStr">
        <is>
          <t>Maison Alhambra</t>
        </is>
      </c>
      <c r="B1218" s="47" t="inlineStr">
        <is>
          <t>MAISON ALHAMBRA LA ROUGE BAROQUE 30ML</t>
        </is>
      </c>
      <c r="C1218" s="48" t="n">
        <v>30</v>
      </c>
      <c r="D1218" s="49" t="inlineStr">
        <is>
          <t>Árabe</t>
        </is>
      </c>
      <c r="E1218" s="50" t="n">
        <v>4.7</v>
      </c>
      <c r="F1218" s="51">
        <f>E1218*$B$5*(1+$B$6)</f>
        <v>6110</v>
      </c>
      <c r="G1218" s="51">
        <f>F1218*$B$7</f>
        <v>15275</v>
      </c>
      <c r="H1218" s="51">
        <f>G1218-F1218</f>
        <v>9165</v>
      </c>
      <c r="I1218" s="52">
        <f>H1218/G1218</f>
        <v>0.6</v>
      </c>
      <c r="J1218" s="53" t="n"/>
      <c r="K1218" s="54" t="n"/>
    </row>
    <row r="1219">
      <c r="A1219" s="39" t="inlineStr">
        <is>
          <t>Maison Alhambra</t>
        </is>
      </c>
      <c r="B1219" s="47" t="inlineStr">
        <is>
          <t>MAISON ALHAMBRA LA ROUGE BAROQUE EXTREME EDP 100ML</t>
        </is>
      </c>
      <c r="C1219" s="48" t="n">
        <v>100</v>
      </c>
      <c r="D1219" s="49" t="inlineStr">
        <is>
          <t>Árabe</t>
        </is>
      </c>
      <c r="E1219" s="50" t="n">
        <v>11.25</v>
      </c>
      <c r="F1219" s="51">
        <f>E1219*$B$5*(1+$B$6)</f>
        <v>14625</v>
      </c>
      <c r="G1219" s="51">
        <f>F1219*$B$7</f>
        <v>36562.5</v>
      </c>
      <c r="H1219" s="51">
        <f>G1219-F1219</f>
        <v>21937.5</v>
      </c>
      <c r="I1219" s="52">
        <f>H1219/G1219</f>
        <v>0.6</v>
      </c>
      <c r="J1219" s="53" t="n"/>
      <c r="K1219" s="54" t="n"/>
    </row>
    <row r="1220">
      <c r="A1220" s="39" t="inlineStr">
        <is>
          <t>Maison Alhambra</t>
        </is>
      </c>
      <c r="B1220" s="47" t="inlineStr">
        <is>
          <t>MAISON ALHAMBRA LA VIVACITE INTENSA EDP 100ML</t>
        </is>
      </c>
      <c r="C1220" s="48" t="n">
        <v>100</v>
      </c>
      <c r="D1220" s="49" t="inlineStr">
        <is>
          <t>Árabe</t>
        </is>
      </c>
      <c r="E1220" s="50" t="n">
        <v>12.25</v>
      </c>
      <c r="F1220" s="51">
        <f>E1220*$B$5*(1+$B$6)</f>
        <v>15925</v>
      </c>
      <c r="G1220" s="51">
        <f>F1220*$B$7</f>
        <v>39812.5</v>
      </c>
      <c r="H1220" s="51">
        <f>G1220-F1220</f>
        <v>23887.5</v>
      </c>
      <c r="I1220" s="52">
        <f>H1220/G1220</f>
        <v>0.6</v>
      </c>
      <c r="J1220" s="53" t="n"/>
      <c r="K1220" s="54" t="n"/>
    </row>
    <row r="1221">
      <c r="A1221" s="39" t="inlineStr">
        <is>
          <t>Maison Alhambra</t>
        </is>
      </c>
      <c r="B1221" s="47" t="inlineStr">
        <is>
          <t>MAISON ALHAMBRA LA VIVACITE INTENSA EDP 30ML</t>
        </is>
      </c>
      <c r="C1221" s="48" t="n">
        <v>30</v>
      </c>
      <c r="D1221" s="49" t="inlineStr">
        <is>
          <t>Árabe</t>
        </is>
      </c>
      <c r="E1221" s="50" t="n">
        <v>4.7</v>
      </c>
      <c r="F1221" s="51">
        <f>E1221*$B$5*(1+$B$6)</f>
        <v>6110</v>
      </c>
      <c r="G1221" s="51">
        <f>F1221*$B$7</f>
        <v>15275</v>
      </c>
      <c r="H1221" s="51">
        <f>G1221-F1221</f>
        <v>9165</v>
      </c>
      <c r="I1221" s="52">
        <f>H1221/G1221</f>
        <v>0.6</v>
      </c>
      <c r="J1221" s="53" t="n"/>
      <c r="K1221" s="54" t="n"/>
    </row>
    <row r="1222">
      <c r="A1222" s="39" t="inlineStr">
        <is>
          <t>Maison Alhambra</t>
        </is>
      </c>
      <c r="B1222" s="47" t="inlineStr">
        <is>
          <t>MAISON ALHAMBRA LA VOIE 30ML</t>
        </is>
      </c>
      <c r="C1222" s="48" t="n">
        <v>30</v>
      </c>
      <c r="D1222" s="49" t="inlineStr">
        <is>
          <t>Árabe</t>
        </is>
      </c>
      <c r="E1222" s="50" t="n">
        <v>4.7</v>
      </c>
      <c r="F1222" s="51">
        <f>E1222*$B$5*(1+$B$6)</f>
        <v>6110</v>
      </c>
      <c r="G1222" s="51">
        <f>F1222*$B$7</f>
        <v>15275</v>
      </c>
      <c r="H1222" s="51">
        <f>G1222-F1222</f>
        <v>9165</v>
      </c>
      <c r="I1222" s="52">
        <f>H1222/G1222</f>
        <v>0.6</v>
      </c>
      <c r="J1222" s="53" t="n"/>
      <c r="K1222" s="54" t="n"/>
    </row>
    <row r="1223">
      <c r="A1223" s="39" t="inlineStr">
        <is>
          <t>Maison Alhambra</t>
        </is>
      </c>
      <c r="B1223" s="47" t="inlineStr">
        <is>
          <t>MAISON ALHAMBRA LEONIE EDP 100ML</t>
        </is>
      </c>
      <c r="C1223" s="48" t="n">
        <v>100</v>
      </c>
      <c r="D1223" s="49" t="inlineStr">
        <is>
          <t>Árabe</t>
        </is>
      </c>
      <c r="E1223" s="50" t="n">
        <v>16</v>
      </c>
      <c r="F1223" s="51">
        <f>E1223*$B$5*(1+$B$6)</f>
        <v>20800</v>
      </c>
      <c r="G1223" s="51">
        <f>F1223*$B$7</f>
        <v>52000</v>
      </c>
      <c r="H1223" s="51">
        <f>G1223-F1223</f>
        <v>31200</v>
      </c>
      <c r="I1223" s="52">
        <f>H1223/G1223</f>
        <v>0.6</v>
      </c>
      <c r="J1223" s="53" t="n"/>
      <c r="K1223" s="54" t="n"/>
    </row>
    <row r="1224">
      <c r="A1224" s="39" t="inlineStr">
        <is>
          <t>Maison Alhambra</t>
        </is>
      </c>
      <c r="B1224" s="47" t="inlineStr">
        <is>
          <t>MAISON ALHAMBRA LUMINOUS VIVID 100ML</t>
        </is>
      </c>
      <c r="C1224" s="48" t="n">
        <v>100</v>
      </c>
      <c r="D1224" s="49" t="inlineStr">
        <is>
          <t>Árabe</t>
        </is>
      </c>
      <c r="E1224" s="50" t="n">
        <v>11.5</v>
      </c>
      <c r="F1224" s="51">
        <f>E1224*$B$5*(1+$B$6)</f>
        <v>14950</v>
      </c>
      <c r="G1224" s="51">
        <f>F1224*$B$7</f>
        <v>37375</v>
      </c>
      <c r="H1224" s="51">
        <f>G1224-F1224</f>
        <v>22425</v>
      </c>
      <c r="I1224" s="52">
        <f>H1224/G1224</f>
        <v>0.6</v>
      </c>
      <c r="J1224" s="53" t="n"/>
      <c r="K1224" s="54" t="n"/>
    </row>
    <row r="1225">
      <c r="A1225" s="39" t="inlineStr">
        <is>
          <t>Maison Alhambra</t>
        </is>
      </c>
      <c r="B1225" s="47" t="inlineStr">
        <is>
          <t>MAISON ALHAMBRA LUMINOUS VIVID EDP 30ML</t>
        </is>
      </c>
      <c r="C1225" s="48" t="n">
        <v>30</v>
      </c>
      <c r="D1225" s="49" t="inlineStr">
        <is>
          <t>Árabe</t>
        </is>
      </c>
      <c r="E1225" s="50" t="n">
        <v>4.7</v>
      </c>
      <c r="F1225" s="51">
        <f>E1225*$B$5*(1+$B$6)</f>
        <v>6110</v>
      </c>
      <c r="G1225" s="51">
        <f>F1225*$B$7</f>
        <v>15275</v>
      </c>
      <c r="H1225" s="51">
        <f>G1225-F1225</f>
        <v>9165</v>
      </c>
      <c r="I1225" s="52">
        <f>H1225/G1225</f>
        <v>0.6</v>
      </c>
      <c r="J1225" s="53" t="n"/>
      <c r="K1225" s="54" t="n"/>
    </row>
    <row r="1226">
      <c r="A1226" s="39" t="inlineStr">
        <is>
          <t>Maison Alhambra</t>
        </is>
      </c>
      <c r="B1226" s="47" t="inlineStr">
        <is>
          <t>MAISON ALHAMBRA LUXE EMERALD EDP 100ML</t>
        </is>
      </c>
      <c r="C1226" s="48" t="n">
        <v>100</v>
      </c>
      <c r="D1226" s="49" t="inlineStr">
        <is>
          <t>Árabe</t>
        </is>
      </c>
      <c r="E1226" s="50" t="n">
        <v>14.5</v>
      </c>
      <c r="F1226" s="51">
        <f>E1226*$B$5*(1+$B$6)</f>
        <v>18850</v>
      </c>
      <c r="G1226" s="51">
        <f>F1226*$B$7</f>
        <v>47125</v>
      </c>
      <c r="H1226" s="51">
        <f>G1226-F1226</f>
        <v>28275</v>
      </c>
      <c r="I1226" s="52">
        <f>H1226/G1226</f>
        <v>0.6</v>
      </c>
      <c r="J1226" s="53" t="n"/>
      <c r="K1226" s="54" t="n"/>
    </row>
    <row r="1227">
      <c r="A1227" s="39" t="inlineStr">
        <is>
          <t>Maison Alhambra</t>
        </is>
      </c>
      <c r="B1227" s="47" t="inlineStr">
        <is>
          <t>MAISON ALHAMBRA LUXE GOLD EDP 100ML</t>
        </is>
      </c>
      <c r="C1227" s="48" t="n">
        <v>100</v>
      </c>
      <c r="D1227" s="49" t="inlineStr">
        <is>
          <t>Árabe</t>
        </is>
      </c>
      <c r="E1227" s="50" t="n">
        <v>14.5</v>
      </c>
      <c r="F1227" s="51">
        <f>E1227*$B$5*(1+$B$6)</f>
        <v>18850</v>
      </c>
      <c r="G1227" s="51">
        <f>F1227*$B$7</f>
        <v>47125</v>
      </c>
      <c r="H1227" s="51">
        <f>G1227-F1227</f>
        <v>28275</v>
      </c>
      <c r="I1227" s="52">
        <f>H1227/G1227</f>
        <v>0.6</v>
      </c>
      <c r="J1227" s="53" t="n"/>
      <c r="K1227" s="54" t="n"/>
    </row>
    <row r="1228">
      <c r="A1228" s="39" t="inlineStr">
        <is>
          <t>Maison Alhambra</t>
        </is>
      </c>
      <c r="B1228" s="47" t="inlineStr">
        <is>
          <t>MAISON ALHAMBRA LUXE NIGHTLIFE EDP 100ML</t>
        </is>
      </c>
      <c r="C1228" s="48" t="n">
        <v>100</v>
      </c>
      <c r="D1228" s="49" t="inlineStr">
        <is>
          <t>Árabe</t>
        </is>
      </c>
      <c r="E1228" s="50" t="n">
        <v>14</v>
      </c>
      <c r="F1228" s="51">
        <f>E1228*$B$5*(1+$B$6)</f>
        <v>18200</v>
      </c>
      <c r="G1228" s="51">
        <f>F1228*$B$7</f>
        <v>45500</v>
      </c>
      <c r="H1228" s="51">
        <f>G1228-F1228</f>
        <v>27300</v>
      </c>
      <c r="I1228" s="52">
        <f>H1228/G1228</f>
        <v>0.6</v>
      </c>
      <c r="J1228" s="53" t="n"/>
      <c r="K1228" s="54" t="n"/>
    </row>
    <row r="1229">
      <c r="A1229" s="39" t="inlineStr">
        <is>
          <t>Maison Alhambra</t>
        </is>
      </c>
      <c r="B1229" s="47" t="inlineStr">
        <is>
          <t>MAISON ALHAMBRA MAITRE DE BLUE EDP 100ML</t>
        </is>
      </c>
      <c r="C1229" s="48" t="n">
        <v>100</v>
      </c>
      <c r="D1229" s="49" t="inlineStr">
        <is>
          <t>Árabe</t>
        </is>
      </c>
      <c r="E1229" s="50" t="n">
        <v>14</v>
      </c>
      <c r="F1229" s="51">
        <f>E1229*$B$5*(1+$B$6)</f>
        <v>18200</v>
      </c>
      <c r="G1229" s="51">
        <f>F1229*$B$7</f>
        <v>45500</v>
      </c>
      <c r="H1229" s="51">
        <f>G1229-F1229</f>
        <v>27300</v>
      </c>
      <c r="I1229" s="52">
        <f>H1229/G1229</f>
        <v>0.6</v>
      </c>
      <c r="J1229" s="53" t="n"/>
      <c r="K1229" s="54" t="n"/>
    </row>
    <row r="1230">
      <c r="A1230" s="39" t="inlineStr">
        <is>
          <t>Maison Alhambra</t>
        </is>
      </c>
      <c r="B1230" s="47" t="inlineStr">
        <is>
          <t>MAISON ALHAMBRA MAN BLACK EDITION 30ML</t>
        </is>
      </c>
      <c r="C1230" s="48" t="n">
        <v>30</v>
      </c>
      <c r="D1230" s="49" t="inlineStr">
        <is>
          <t>Árabe</t>
        </is>
      </c>
      <c r="E1230" s="50" t="n">
        <v>4.7</v>
      </c>
      <c r="F1230" s="51">
        <f>E1230*$B$5*(1+$B$6)</f>
        <v>6110</v>
      </c>
      <c r="G1230" s="51">
        <f>F1230*$B$7</f>
        <v>15275</v>
      </c>
      <c r="H1230" s="51">
        <f>G1230-F1230</f>
        <v>9165</v>
      </c>
      <c r="I1230" s="52">
        <f>H1230/G1230</f>
        <v>0.6</v>
      </c>
      <c r="J1230" s="53" t="n"/>
      <c r="K1230" s="54" t="n"/>
    </row>
    <row r="1231">
      <c r="A1231" s="39" t="inlineStr">
        <is>
          <t>Maison Alhambra</t>
        </is>
      </c>
      <c r="B1231" s="47" t="inlineStr">
        <is>
          <t>MAISON ALHAMBRA NARISSA ET MOI EDP 100ML</t>
        </is>
      </c>
      <c r="C1231" s="48" t="n">
        <v>100</v>
      </c>
      <c r="D1231" s="49" t="inlineStr">
        <is>
          <t>Árabe</t>
        </is>
      </c>
      <c r="E1231" s="50" t="n">
        <v>11.5</v>
      </c>
      <c r="F1231" s="51">
        <f>E1231*$B$5*(1+$B$6)</f>
        <v>14950</v>
      </c>
      <c r="G1231" s="51">
        <f>F1231*$B$7</f>
        <v>37375</v>
      </c>
      <c r="H1231" s="51">
        <f>G1231-F1231</f>
        <v>22425</v>
      </c>
      <c r="I1231" s="52">
        <f>H1231/G1231</f>
        <v>0.6</v>
      </c>
      <c r="J1231" s="53" t="n"/>
      <c r="K1231" s="54" t="n"/>
    </row>
    <row r="1232">
      <c r="A1232" s="39" t="inlineStr">
        <is>
          <t>Maison Alhambra</t>
        </is>
      </c>
      <c r="B1232" s="47" t="inlineStr">
        <is>
          <t>MAISON ALHAMBRA NEBULA I 100ML</t>
        </is>
      </c>
      <c r="C1232" s="48" t="n">
        <v>100</v>
      </c>
      <c r="D1232" s="49" t="inlineStr">
        <is>
          <t>Árabe</t>
        </is>
      </c>
      <c r="E1232" s="50" t="n">
        <v>14.5</v>
      </c>
      <c r="F1232" s="51">
        <f>E1232*$B$5*(1+$B$6)</f>
        <v>18850</v>
      </c>
      <c r="G1232" s="51">
        <f>F1232*$B$7</f>
        <v>47125</v>
      </c>
      <c r="H1232" s="51">
        <f>G1232-F1232</f>
        <v>28275</v>
      </c>
      <c r="I1232" s="52">
        <f>H1232/G1232</f>
        <v>0.6</v>
      </c>
      <c r="J1232" s="53" t="n"/>
      <c r="K1232" s="54" t="n"/>
    </row>
    <row r="1233">
      <c r="A1233" s="39" t="inlineStr">
        <is>
          <t>Maison Alhambra</t>
        </is>
      </c>
      <c r="B1233" s="47" t="inlineStr">
        <is>
          <t>MAISON ALHAMBRA NEBULA II 100ML</t>
        </is>
      </c>
      <c r="C1233" s="48" t="n">
        <v>100</v>
      </c>
      <c r="D1233" s="49" t="inlineStr">
        <is>
          <t>Árabe</t>
        </is>
      </c>
      <c r="E1233" s="50" t="n">
        <v>14.5</v>
      </c>
      <c r="F1233" s="51">
        <f>E1233*$B$5*(1+$B$6)</f>
        <v>18850</v>
      </c>
      <c r="G1233" s="51">
        <f>F1233*$B$7</f>
        <v>47125</v>
      </c>
      <c r="H1233" s="51">
        <f>G1233-F1233</f>
        <v>28275</v>
      </c>
      <c r="I1233" s="52">
        <f>H1233/G1233</f>
        <v>0.6</v>
      </c>
      <c r="J1233" s="53" t="n"/>
      <c r="K1233" s="54" t="n"/>
    </row>
    <row r="1234">
      <c r="A1234" s="39" t="inlineStr">
        <is>
          <t>Maison Alhambra</t>
        </is>
      </c>
      <c r="B1234" s="47" t="inlineStr">
        <is>
          <t>MAISON ALHAMBRA OLIVIA EDP 80ML</t>
        </is>
      </c>
      <c r="C1234" s="48" t="n">
        <v>80</v>
      </c>
      <c r="D1234" s="49" t="inlineStr">
        <is>
          <t>Árabe</t>
        </is>
      </c>
      <c r="E1234" s="50" t="n">
        <v>14.25</v>
      </c>
      <c r="F1234" s="51">
        <f>E1234*$B$5*(1+$B$6)</f>
        <v>18525</v>
      </c>
      <c r="G1234" s="51">
        <f>F1234*$B$7</f>
        <v>46312.5</v>
      </c>
      <c r="H1234" s="51">
        <f>G1234-F1234</f>
        <v>27787.5</v>
      </c>
      <c r="I1234" s="52">
        <f>H1234/G1234</f>
        <v>0.6</v>
      </c>
      <c r="J1234" s="53" t="n"/>
      <c r="K1234" s="54" t="n"/>
    </row>
    <row r="1235">
      <c r="A1235" s="39" t="inlineStr">
        <is>
          <t>Maison Alhambra</t>
        </is>
      </c>
      <c r="B1235" s="47" t="inlineStr">
        <is>
          <t>MAISON ALHAMBRA OPERA NOIR EDP 30ML</t>
        </is>
      </c>
      <c r="C1235" s="48" t="n">
        <v>30</v>
      </c>
      <c r="D1235" s="49" t="inlineStr">
        <is>
          <t>Árabe</t>
        </is>
      </c>
      <c r="E1235" s="50" t="n">
        <v>4.7</v>
      </c>
      <c r="F1235" s="51">
        <f>E1235*$B$5*(1+$B$6)</f>
        <v>6110</v>
      </c>
      <c r="G1235" s="51">
        <f>F1235*$B$7</f>
        <v>15275</v>
      </c>
      <c r="H1235" s="51">
        <f>G1235-F1235</f>
        <v>9165</v>
      </c>
      <c r="I1235" s="52">
        <f>H1235/G1235</f>
        <v>0.6</v>
      </c>
      <c r="J1235" s="53" t="n"/>
      <c r="K1235" s="54" t="n"/>
    </row>
    <row r="1236">
      <c r="A1236" s="39" t="inlineStr">
        <is>
          <t>Maison Alhambra</t>
        </is>
      </c>
      <c r="B1236" s="47" t="inlineStr">
        <is>
          <t>MAISON ALHAMBRA OPERA ROUGE EDP 100ML</t>
        </is>
      </c>
      <c r="C1236" s="48" t="n">
        <v>100</v>
      </c>
      <c r="D1236" s="49" t="inlineStr">
        <is>
          <t>Árabe</t>
        </is>
      </c>
      <c r="E1236" s="50" t="n">
        <v>10</v>
      </c>
      <c r="F1236" s="51">
        <f>E1236*$B$5*(1+$B$6)</f>
        <v>13000</v>
      </c>
      <c r="G1236" s="51">
        <f>F1236*$B$7</f>
        <v>32500</v>
      </c>
      <c r="H1236" s="51">
        <f>G1236-F1236</f>
        <v>19500</v>
      </c>
      <c r="I1236" s="52">
        <f>H1236/G1236</f>
        <v>0.6</v>
      </c>
      <c r="J1236" s="53" t="n"/>
      <c r="K1236" s="54" t="n"/>
    </row>
    <row r="1237">
      <c r="A1237" s="39" t="inlineStr">
        <is>
          <t>Maison Alhambra</t>
        </is>
      </c>
      <c r="B1237" s="47" t="inlineStr">
        <is>
          <t>MAISON ALHAMBRA OPULENCE LEATHER EDP 30ML</t>
        </is>
      </c>
      <c r="C1237" s="48" t="n">
        <v>30</v>
      </c>
      <c r="D1237" s="49" t="inlineStr">
        <is>
          <t>Árabe</t>
        </is>
      </c>
      <c r="E1237" s="50" t="n">
        <v>4.7</v>
      </c>
      <c r="F1237" s="51">
        <f>E1237*$B$5*(1+$B$6)</f>
        <v>6110</v>
      </c>
      <c r="G1237" s="51">
        <f>F1237*$B$7</f>
        <v>15275</v>
      </c>
      <c r="H1237" s="51">
        <f>G1237-F1237</f>
        <v>9165</v>
      </c>
      <c r="I1237" s="52">
        <f>H1237/G1237</f>
        <v>0.6</v>
      </c>
      <c r="J1237" s="53" t="n"/>
      <c r="K1237" s="54" t="n"/>
    </row>
    <row r="1238">
      <c r="A1238" s="39" t="inlineStr">
        <is>
          <t>Maison Alhambra</t>
        </is>
      </c>
      <c r="B1238" s="47" t="inlineStr">
        <is>
          <t>MAISON ALHAMBRA PACIFIC BLUE EDP 30ML</t>
        </is>
      </c>
      <c r="C1238" s="48" t="n">
        <v>30</v>
      </c>
      <c r="D1238" s="49" t="inlineStr">
        <is>
          <t>Árabe</t>
        </is>
      </c>
      <c r="E1238" s="50" t="n">
        <v>4.7</v>
      </c>
      <c r="F1238" s="51">
        <f>E1238*$B$5*(1+$B$6)</f>
        <v>6110</v>
      </c>
      <c r="G1238" s="51">
        <f>F1238*$B$7</f>
        <v>15275</v>
      </c>
      <c r="H1238" s="51">
        <f>G1238-F1238</f>
        <v>9165</v>
      </c>
      <c r="I1238" s="52">
        <f>H1238/G1238</f>
        <v>0.6</v>
      </c>
      <c r="J1238" s="53" t="n"/>
      <c r="K1238" s="54" t="n"/>
    </row>
    <row r="1239">
      <c r="A1239" s="39" t="inlineStr">
        <is>
          <t>Maison Alhambra</t>
        </is>
      </c>
      <c r="B1239" s="47" t="inlineStr">
        <is>
          <t>MAISON ALHAMBRA PACIFIC BLUE EDP 80ML</t>
        </is>
      </c>
      <c r="C1239" s="48" t="n">
        <v>80</v>
      </c>
      <c r="D1239" s="49" t="inlineStr">
        <is>
          <t>Árabe</t>
        </is>
      </c>
      <c r="E1239" s="50" t="n">
        <v>13.5</v>
      </c>
      <c r="F1239" s="51">
        <f>E1239*$B$5*(1+$B$6)</f>
        <v>17550</v>
      </c>
      <c r="G1239" s="51">
        <f>F1239*$B$7</f>
        <v>43875</v>
      </c>
      <c r="H1239" s="51">
        <f>G1239-F1239</f>
        <v>26325</v>
      </c>
      <c r="I1239" s="52">
        <f>H1239/G1239</f>
        <v>0.6</v>
      </c>
      <c r="J1239" s="53" t="n"/>
      <c r="K1239" s="54" t="n"/>
    </row>
    <row r="1240">
      <c r="A1240" s="39" t="inlineStr">
        <is>
          <t>Maison Alhambra</t>
        </is>
      </c>
      <c r="B1240" s="47" t="inlineStr">
        <is>
          <t>MAISON ALHAMBRA PANTHER POUR HOMME EDP 100ML</t>
        </is>
      </c>
      <c r="C1240" s="48" t="n">
        <v>100</v>
      </c>
      <c r="D1240" s="49" t="inlineStr">
        <is>
          <t>Árabe</t>
        </is>
      </c>
      <c r="E1240" s="50" t="n">
        <v>14.4</v>
      </c>
      <c r="F1240" s="51">
        <f>E1240*$B$5*(1+$B$6)</f>
        <v>18720</v>
      </c>
      <c r="G1240" s="51">
        <f>F1240*$B$7</f>
        <v>46800</v>
      </c>
      <c r="H1240" s="51">
        <f>G1240-F1240</f>
        <v>28080</v>
      </c>
      <c r="I1240" s="52">
        <f>H1240/G1240</f>
        <v>0.6</v>
      </c>
      <c r="J1240" s="53" t="n"/>
      <c r="K1240" s="54" t="n"/>
    </row>
    <row r="1241">
      <c r="A1241" s="39" t="inlineStr">
        <is>
          <t>Maison Alhambra</t>
        </is>
      </c>
      <c r="B1241" s="47" t="inlineStr">
        <is>
          <t>MAISON ALHAMBRA PERSEUS EDP 100ML</t>
        </is>
      </c>
      <c r="C1241" s="48" t="n">
        <v>100</v>
      </c>
      <c r="D1241" s="49" t="inlineStr">
        <is>
          <t>Árabe</t>
        </is>
      </c>
      <c r="E1241" s="50" t="n">
        <v>12</v>
      </c>
      <c r="F1241" s="51">
        <f>E1241*$B$5*(1+$B$6)</f>
        <v>15600</v>
      </c>
      <c r="G1241" s="51">
        <f>F1241*$B$7</f>
        <v>39000</v>
      </c>
      <c r="H1241" s="51">
        <f>G1241-F1241</f>
        <v>23400</v>
      </c>
      <c r="I1241" s="52">
        <f>H1241/G1241</f>
        <v>0.6</v>
      </c>
      <c r="J1241" s="53" t="n"/>
      <c r="K1241" s="54" t="n"/>
    </row>
    <row r="1242">
      <c r="A1242" s="39" t="inlineStr">
        <is>
          <t>Maison Alhambra</t>
        </is>
      </c>
      <c r="B1242" s="47" t="inlineStr">
        <is>
          <t>MAISON ALHAMBRA PERSEUS EXCLUSIF EDP 100ML</t>
        </is>
      </c>
      <c r="C1242" s="48" t="n">
        <v>100</v>
      </c>
      <c r="D1242" s="49" t="inlineStr">
        <is>
          <t>Árabe</t>
        </is>
      </c>
      <c r="E1242" s="50" t="n">
        <v>11</v>
      </c>
      <c r="F1242" s="51">
        <f>E1242*$B$5*(1+$B$6)</f>
        <v>14300</v>
      </c>
      <c r="G1242" s="51">
        <f>F1242*$B$7</f>
        <v>35750</v>
      </c>
      <c r="H1242" s="51">
        <f>G1242-F1242</f>
        <v>21450</v>
      </c>
      <c r="I1242" s="52">
        <f>H1242/G1242</f>
        <v>0.6</v>
      </c>
      <c r="J1242" s="53" t="n"/>
      <c r="K1242" s="54" t="n"/>
    </row>
    <row r="1243">
      <c r="A1243" s="39" t="inlineStr">
        <is>
          <t>Maison Alhambra</t>
        </is>
      </c>
      <c r="B1243" s="47" t="inlineStr">
        <is>
          <t>MAISON ALHAMBRA PERSEUS EXCLUSIF EDP 30ML</t>
        </is>
      </c>
      <c r="C1243" s="48" t="n">
        <v>30</v>
      </c>
      <c r="D1243" s="49" t="inlineStr">
        <is>
          <t>Árabe</t>
        </is>
      </c>
      <c r="E1243" s="50" t="n">
        <v>4.7</v>
      </c>
      <c r="F1243" s="51">
        <f>E1243*$B$5*(1+$B$6)</f>
        <v>6110</v>
      </c>
      <c r="G1243" s="51">
        <f>F1243*$B$7</f>
        <v>15275</v>
      </c>
      <c r="H1243" s="51">
        <f>G1243-F1243</f>
        <v>9165</v>
      </c>
      <c r="I1243" s="52">
        <f>H1243/G1243</f>
        <v>0.6</v>
      </c>
      <c r="J1243" s="53" t="n"/>
      <c r="K1243" s="54" t="n"/>
    </row>
    <row r="1244">
      <c r="A1244" s="39" t="inlineStr">
        <is>
          <t>Maison Alhambra</t>
        </is>
      </c>
      <c r="B1244" s="47" t="inlineStr">
        <is>
          <t>MAISON ALHAMBRA PHILOS CENTRO EDP 100ML</t>
        </is>
      </c>
      <c r="C1244" s="48" t="n">
        <v>100</v>
      </c>
      <c r="D1244" s="49" t="inlineStr">
        <is>
          <t>Árabe</t>
        </is>
      </c>
      <c r="E1244" s="50" t="n">
        <v>10.9</v>
      </c>
      <c r="F1244" s="51">
        <f>E1244*$B$5*(1+$B$6)</f>
        <v>14170</v>
      </c>
      <c r="G1244" s="51">
        <f>F1244*$B$7</f>
        <v>35425</v>
      </c>
      <c r="H1244" s="51">
        <f>G1244-F1244</f>
        <v>21255</v>
      </c>
      <c r="I1244" s="52">
        <f>H1244/G1244</f>
        <v>0.6</v>
      </c>
      <c r="J1244" s="53" t="n"/>
      <c r="K1244" s="54" t="n"/>
    </row>
    <row r="1245">
      <c r="A1245" s="39" t="inlineStr">
        <is>
          <t>Maison Alhambra</t>
        </is>
      </c>
      <c r="B1245" s="47" t="inlineStr">
        <is>
          <t>MAISON ALHAMBRA PHILOS OPUS NOIR EDP 100ML</t>
        </is>
      </c>
      <c r="C1245" s="48" t="n">
        <v>100</v>
      </c>
      <c r="D1245" s="49" t="inlineStr">
        <is>
          <t>Árabe</t>
        </is>
      </c>
      <c r="E1245" s="50" t="n">
        <v>11</v>
      </c>
      <c r="F1245" s="51">
        <f>E1245*$B$5*(1+$B$6)</f>
        <v>14300</v>
      </c>
      <c r="G1245" s="51">
        <f>F1245*$B$7</f>
        <v>35750</v>
      </c>
      <c r="H1245" s="51">
        <f>G1245-F1245</f>
        <v>21450</v>
      </c>
      <c r="I1245" s="52">
        <f>H1245/G1245</f>
        <v>0.6</v>
      </c>
      <c r="J1245" s="53" t="n"/>
      <c r="K1245" s="54" t="n"/>
    </row>
    <row r="1246">
      <c r="A1246" s="39" t="inlineStr">
        <is>
          <t>Maison Alhambra</t>
        </is>
      </c>
      <c r="B1246" s="47" t="inlineStr">
        <is>
          <t>MAISON ALHAMBRA PHILOS PURA EDP 100ML</t>
        </is>
      </c>
      <c r="C1246" s="48" t="n">
        <v>100</v>
      </c>
      <c r="D1246" s="49" t="inlineStr">
        <is>
          <t>Árabe</t>
        </is>
      </c>
      <c r="E1246" s="50" t="n">
        <v>15.75</v>
      </c>
      <c r="F1246" s="51">
        <f>E1246*$B$5*(1+$B$6)</f>
        <v>20475</v>
      </c>
      <c r="G1246" s="51">
        <f>F1246*$B$7</f>
        <v>51187.5</v>
      </c>
      <c r="H1246" s="51">
        <f>G1246-F1246</f>
        <v>30712.5</v>
      </c>
      <c r="I1246" s="52">
        <f>H1246/G1246</f>
        <v>0.6</v>
      </c>
      <c r="J1246" s="53" t="n"/>
      <c r="K1246" s="54" t="n"/>
    </row>
    <row r="1247">
      <c r="A1247" s="39" t="inlineStr">
        <is>
          <t>Maison Alhambra</t>
        </is>
      </c>
      <c r="B1247" s="47" t="inlineStr">
        <is>
          <t>MAISON ALHAMBRA PHILOS ROSSO EDP 100ML</t>
        </is>
      </c>
      <c r="C1247" s="48" t="n">
        <v>100</v>
      </c>
      <c r="D1247" s="49" t="inlineStr">
        <is>
          <t>Árabe</t>
        </is>
      </c>
      <c r="E1247" s="50" t="n">
        <v>10.8</v>
      </c>
      <c r="F1247" s="51">
        <f>E1247*$B$5*(1+$B$6)</f>
        <v>14040</v>
      </c>
      <c r="G1247" s="51">
        <f>F1247*$B$7</f>
        <v>35100</v>
      </c>
      <c r="H1247" s="51">
        <f>G1247-F1247</f>
        <v>21060</v>
      </c>
      <c r="I1247" s="52">
        <f>H1247/G1247</f>
        <v>0.6</v>
      </c>
      <c r="J1247" s="53" t="n"/>
      <c r="K1247" s="54" t="n"/>
    </row>
    <row r="1248">
      <c r="A1248" s="39" t="inlineStr">
        <is>
          <t>Maison Alhambra</t>
        </is>
      </c>
      <c r="B1248" s="47" t="inlineStr">
        <is>
          <t>MAISON ALHAMBRA PHILOS ROSSO EDP 30ML</t>
        </is>
      </c>
      <c r="C1248" s="48" t="n">
        <v>30</v>
      </c>
      <c r="D1248" s="49" t="inlineStr">
        <is>
          <t>Árabe</t>
        </is>
      </c>
      <c r="E1248" s="50" t="n">
        <v>4.7</v>
      </c>
      <c r="F1248" s="51">
        <f>E1248*$B$5*(1+$B$6)</f>
        <v>6110</v>
      </c>
      <c r="G1248" s="51">
        <f>F1248*$B$7</f>
        <v>15275</v>
      </c>
      <c r="H1248" s="51">
        <f>G1248-F1248</f>
        <v>9165</v>
      </c>
      <c r="I1248" s="52">
        <f>H1248/G1248</f>
        <v>0.6</v>
      </c>
      <c r="J1248" s="53" t="n"/>
      <c r="K1248" s="54" t="n"/>
    </row>
    <row r="1249">
      <c r="A1249" s="39" t="inlineStr">
        <is>
          <t>Maison Alhambra</t>
        </is>
      </c>
      <c r="B1249" s="47" t="inlineStr">
        <is>
          <t>MAISON ALHAMBRA PHILOS SHINE EDP 100ML</t>
        </is>
      </c>
      <c r="C1249" s="48" t="n">
        <v>100</v>
      </c>
      <c r="D1249" s="49" t="inlineStr">
        <is>
          <t>Árabe</t>
        </is>
      </c>
      <c r="E1249" s="50" t="n">
        <v>11</v>
      </c>
      <c r="F1249" s="51">
        <f>E1249*$B$5*(1+$B$6)</f>
        <v>14300</v>
      </c>
      <c r="G1249" s="51">
        <f>F1249*$B$7</f>
        <v>35750</v>
      </c>
      <c r="H1249" s="51">
        <f>G1249-F1249</f>
        <v>21450</v>
      </c>
      <c r="I1249" s="52">
        <f>H1249/G1249</f>
        <v>0.6</v>
      </c>
      <c r="J1249" s="53" t="n"/>
      <c r="K1249" s="54" t="n"/>
    </row>
    <row r="1250">
      <c r="A1250" s="39" t="inlineStr">
        <is>
          <t>Maison Alhambra</t>
        </is>
      </c>
      <c r="B1250" s="47" t="inlineStr">
        <is>
          <t>MAISON ALHAMBRA PINK SHIMMER SECRET EDP 30ML</t>
        </is>
      </c>
      <c r="C1250" s="48" t="n">
        <v>30</v>
      </c>
      <c r="D1250" s="49" t="inlineStr">
        <is>
          <t>Árabe</t>
        </is>
      </c>
      <c r="E1250" s="50" t="n">
        <v>4.7</v>
      </c>
      <c r="F1250" s="51">
        <f>E1250*$B$5*(1+$B$6)</f>
        <v>6110</v>
      </c>
      <c r="G1250" s="51">
        <f>F1250*$B$7</f>
        <v>15275</v>
      </c>
      <c r="H1250" s="51">
        <f>G1250-F1250</f>
        <v>9165</v>
      </c>
      <c r="I1250" s="52">
        <f>H1250/G1250</f>
        <v>0.6</v>
      </c>
      <c r="J1250" s="53" t="n"/>
      <c r="K1250" s="54" t="n"/>
    </row>
    <row r="1251">
      <c r="A1251" s="39" t="inlineStr">
        <is>
          <t>Maison Alhambra</t>
        </is>
      </c>
      <c r="B1251" s="47" t="inlineStr">
        <is>
          <t>MAISON ALHAMBRA PINK VELVET EDP 30ML</t>
        </is>
      </c>
      <c r="C1251" s="48" t="n">
        <v>30</v>
      </c>
      <c r="D1251" s="49" t="inlineStr">
        <is>
          <t>Árabe</t>
        </is>
      </c>
      <c r="E1251" s="50" t="n">
        <v>4.7</v>
      </c>
      <c r="F1251" s="51">
        <f>E1251*$B$5*(1+$B$6)</f>
        <v>6110</v>
      </c>
      <c r="G1251" s="51">
        <f>F1251*$B$7</f>
        <v>15275</v>
      </c>
      <c r="H1251" s="51">
        <f>G1251-F1251</f>
        <v>9165</v>
      </c>
      <c r="I1251" s="52">
        <f>H1251/G1251</f>
        <v>0.6</v>
      </c>
      <c r="J1251" s="53" t="n"/>
      <c r="K1251" s="54" t="n"/>
    </row>
    <row r="1252">
      <c r="A1252" s="39" t="inlineStr">
        <is>
          <t>Maison Alhambra</t>
        </is>
      </c>
      <c r="B1252" s="47" t="inlineStr">
        <is>
          <t>MAISON ALHAMBRA PINK VELVET EDP 80ML</t>
        </is>
      </c>
      <c r="C1252" s="48" t="n">
        <v>80</v>
      </c>
      <c r="D1252" s="49" t="inlineStr">
        <is>
          <t>Árabe</t>
        </is>
      </c>
      <c r="E1252" s="50" t="n">
        <v>12.5</v>
      </c>
      <c r="F1252" s="51">
        <f>E1252*$B$5*(1+$B$6)</f>
        <v>16250</v>
      </c>
      <c r="G1252" s="51">
        <f>F1252*$B$7</f>
        <v>40625</v>
      </c>
      <c r="H1252" s="51">
        <f>G1252-F1252</f>
        <v>24375</v>
      </c>
      <c r="I1252" s="52">
        <f>H1252/G1252</f>
        <v>0.6</v>
      </c>
      <c r="J1252" s="53" t="n"/>
      <c r="K1252" s="54" t="n"/>
    </row>
    <row r="1253">
      <c r="A1253" s="39" t="inlineStr">
        <is>
          <t>Maison Alhambra</t>
        </is>
      </c>
      <c r="B1253" s="47" t="inlineStr">
        <is>
          <t>MAISON ALHAMBRA REYNA POUR FEMME EDP 30ML</t>
        </is>
      </c>
      <c r="C1253" s="48" t="n">
        <v>30</v>
      </c>
      <c r="D1253" s="49" t="inlineStr">
        <is>
          <t>Árabe</t>
        </is>
      </c>
      <c r="E1253" s="50" t="n">
        <v>4.7</v>
      </c>
      <c r="F1253" s="51">
        <f>E1253*$B$5*(1+$B$6)</f>
        <v>6110</v>
      </c>
      <c r="G1253" s="51">
        <f>F1253*$B$7</f>
        <v>15275</v>
      </c>
      <c r="H1253" s="51">
        <f>G1253-F1253</f>
        <v>9165</v>
      </c>
      <c r="I1253" s="52">
        <f>H1253/G1253</f>
        <v>0.6</v>
      </c>
      <c r="J1253" s="53" t="n"/>
      <c r="K1253" s="54" t="n"/>
    </row>
    <row r="1254">
      <c r="A1254" s="39" t="inlineStr">
        <is>
          <t>Maison Alhambra</t>
        </is>
      </c>
      <c r="B1254" s="47" t="inlineStr">
        <is>
          <t>MAISON ALHAMBRA ROSE ORIGAMI EDP 100ML</t>
        </is>
      </c>
      <c r="C1254" s="48" t="n">
        <v>100</v>
      </c>
      <c r="D1254" s="49" t="inlineStr">
        <is>
          <t>Árabe</t>
        </is>
      </c>
      <c r="E1254" s="50" t="n">
        <v>9.9</v>
      </c>
      <c r="F1254" s="51">
        <f>E1254*$B$5*(1+$B$6)</f>
        <v>12870</v>
      </c>
      <c r="G1254" s="51">
        <f>F1254*$B$7</f>
        <v>32175</v>
      </c>
      <c r="H1254" s="51">
        <f>G1254-F1254</f>
        <v>19305</v>
      </c>
      <c r="I1254" s="52">
        <f>H1254/G1254</f>
        <v>0.6</v>
      </c>
      <c r="J1254" s="53" t="n"/>
      <c r="K1254" s="54" t="n"/>
    </row>
    <row r="1255">
      <c r="A1255" s="39" t="inlineStr">
        <is>
          <t>Maison Alhambra</t>
        </is>
      </c>
      <c r="B1255" s="47" t="inlineStr">
        <is>
          <t>MAISON ALHAMBRA ROSE SEDUCTION VIP POUR FEMME EDP 100ML</t>
        </is>
      </c>
      <c r="C1255" s="48" t="n">
        <v>100</v>
      </c>
      <c r="D1255" s="49" t="inlineStr">
        <is>
          <t>Árabe</t>
        </is>
      </c>
      <c r="E1255" s="50" t="n">
        <v>17.99</v>
      </c>
      <c r="F1255" s="51">
        <f>E1255*$B$5*(1+$B$6)</f>
        <v>23387</v>
      </c>
      <c r="G1255" s="51">
        <f>F1255*$B$7</f>
        <v>58467.5</v>
      </c>
      <c r="H1255" s="51">
        <f>G1255-F1255</f>
        <v>35080.5</v>
      </c>
      <c r="I1255" s="52">
        <f>H1255/G1255</f>
        <v>0.6</v>
      </c>
      <c r="J1255" s="53" t="n"/>
      <c r="K1255" s="54" t="n"/>
    </row>
    <row r="1256">
      <c r="A1256" s="39" t="inlineStr">
        <is>
          <t>Maison Alhambra</t>
        </is>
      </c>
      <c r="B1256" s="47" t="inlineStr">
        <is>
          <t>MAISON ALHAMBRA SALVO EDP 100ML</t>
        </is>
      </c>
      <c r="C1256" s="48" t="n">
        <v>100</v>
      </c>
      <c r="D1256" s="49" t="inlineStr">
        <is>
          <t>Árabe</t>
        </is>
      </c>
      <c r="E1256" s="50" t="n">
        <v>13</v>
      </c>
      <c r="F1256" s="51">
        <f>E1256*$B$5*(1+$B$6)</f>
        <v>16900</v>
      </c>
      <c r="G1256" s="51">
        <f>F1256*$B$7</f>
        <v>42250</v>
      </c>
      <c r="H1256" s="51">
        <f>G1256-F1256</f>
        <v>25350</v>
      </c>
      <c r="I1256" s="52">
        <f>H1256/G1256</f>
        <v>0.6</v>
      </c>
      <c r="J1256" s="53" t="n"/>
      <c r="K1256" s="54" t="n"/>
    </row>
    <row r="1257">
      <c r="A1257" s="39" t="inlineStr">
        <is>
          <t>Maison Alhambra</t>
        </is>
      </c>
      <c r="B1257" s="47" t="inlineStr">
        <is>
          <t>MAISON ALHAMBRA SALVO ELIXIR EDP 60ML</t>
        </is>
      </c>
      <c r="C1257" s="48" t="n">
        <v>60</v>
      </c>
      <c r="D1257" s="49" t="inlineStr">
        <is>
          <t>Árabe</t>
        </is>
      </c>
      <c r="E1257" s="50" t="n">
        <v>12.9</v>
      </c>
      <c r="F1257" s="51">
        <f>E1257*$B$5*(1+$B$6)</f>
        <v>16770</v>
      </c>
      <c r="G1257" s="51">
        <f>F1257*$B$7</f>
        <v>41925</v>
      </c>
      <c r="H1257" s="51">
        <f>G1257-F1257</f>
        <v>25155</v>
      </c>
      <c r="I1257" s="52">
        <f>H1257/G1257</f>
        <v>0.6</v>
      </c>
      <c r="J1257" s="53" t="n"/>
      <c r="K1257" s="54" t="n"/>
    </row>
    <row r="1258">
      <c r="A1258" s="39" t="inlineStr">
        <is>
          <t>Maison Alhambra</t>
        </is>
      </c>
      <c r="B1258" s="47" t="inlineStr">
        <is>
          <t>MAISON ALHAMBRA SCEPTRE AMAZONITE 100ML</t>
        </is>
      </c>
      <c r="C1258" s="48" t="n">
        <v>100</v>
      </c>
      <c r="D1258" s="49" t="inlineStr">
        <is>
          <t>Árabe</t>
        </is>
      </c>
      <c r="E1258" s="50" t="n">
        <v>15</v>
      </c>
      <c r="F1258" s="51">
        <f>E1258*$B$5*(1+$B$6)</f>
        <v>19500</v>
      </c>
      <c r="G1258" s="51">
        <f>F1258*$B$7</f>
        <v>48750</v>
      </c>
      <c r="H1258" s="51">
        <f>G1258-F1258</f>
        <v>29250</v>
      </c>
      <c r="I1258" s="52">
        <f>H1258/G1258</f>
        <v>0.6</v>
      </c>
      <c r="J1258" s="53" t="n"/>
      <c r="K1258" s="54" t="n"/>
    </row>
    <row r="1259">
      <c r="A1259" s="39" t="inlineStr">
        <is>
          <t>Maison Alhambra</t>
        </is>
      </c>
      <c r="B1259" s="47" t="inlineStr">
        <is>
          <t>MAISON ALHAMBRA SCEPTRE BRONZITE 100ML</t>
        </is>
      </c>
      <c r="C1259" s="48" t="n">
        <v>100</v>
      </c>
      <c r="D1259" s="49" t="inlineStr">
        <is>
          <t>Árabe</t>
        </is>
      </c>
      <c r="E1259" s="50" t="n">
        <v>14</v>
      </c>
      <c r="F1259" s="51">
        <f>E1259*$B$5*(1+$B$6)</f>
        <v>18200</v>
      </c>
      <c r="G1259" s="51">
        <f>F1259*$B$7</f>
        <v>45500</v>
      </c>
      <c r="H1259" s="51">
        <f>G1259-F1259</f>
        <v>27300</v>
      </c>
      <c r="I1259" s="52">
        <f>H1259/G1259</f>
        <v>0.6</v>
      </c>
      <c r="J1259" s="53" t="n"/>
      <c r="K1259" s="54" t="n"/>
    </row>
    <row r="1260">
      <c r="A1260" s="39" t="inlineStr">
        <is>
          <t>Maison Alhambra</t>
        </is>
      </c>
      <c r="B1260" s="47" t="inlineStr">
        <is>
          <t>MAISON ALHAMBRA SCEPTRE DESERT 100ML</t>
        </is>
      </c>
      <c r="C1260" s="48" t="n">
        <v>100</v>
      </c>
      <c r="D1260" s="49" t="inlineStr">
        <is>
          <t>Árabe</t>
        </is>
      </c>
      <c r="E1260" s="50" t="n">
        <v>14</v>
      </c>
      <c r="F1260" s="51">
        <f>E1260*$B$5*(1+$B$6)</f>
        <v>18200</v>
      </c>
      <c r="G1260" s="51">
        <f>F1260*$B$7</f>
        <v>45500</v>
      </c>
      <c r="H1260" s="51">
        <f>G1260-F1260</f>
        <v>27300</v>
      </c>
      <c r="I1260" s="52">
        <f>H1260/G1260</f>
        <v>0.6</v>
      </c>
      <c r="J1260" s="53" t="n"/>
      <c r="K1260" s="54" t="n"/>
    </row>
    <row r="1261">
      <c r="A1261" s="39" t="inlineStr">
        <is>
          <t>Maison Alhambra</t>
        </is>
      </c>
      <c r="B1261" s="47" t="inlineStr">
        <is>
          <t>MAISON ALHAMBRA SCEPTRE MALACHITE 100ML</t>
        </is>
      </c>
      <c r="C1261" s="48" t="n">
        <v>100</v>
      </c>
      <c r="D1261" s="49" t="inlineStr">
        <is>
          <t>Árabe</t>
        </is>
      </c>
      <c r="E1261" s="50" t="n">
        <v>18.5</v>
      </c>
      <c r="F1261" s="51">
        <f>E1261*$B$5*(1+$B$6)</f>
        <v>24050</v>
      </c>
      <c r="G1261" s="51">
        <f>F1261*$B$7</f>
        <v>60125</v>
      </c>
      <c r="H1261" s="51">
        <f>G1261-F1261</f>
        <v>36075</v>
      </c>
      <c r="I1261" s="52">
        <f>H1261/G1261</f>
        <v>0.6</v>
      </c>
      <c r="J1261" s="53" t="n"/>
      <c r="K1261" s="54" t="n"/>
    </row>
    <row r="1262">
      <c r="A1262" s="39" t="inlineStr">
        <is>
          <t>Maison Alhambra</t>
        </is>
      </c>
      <c r="B1262" s="47" t="inlineStr">
        <is>
          <t>MAISON ALHAMBRA SCEPTRE OCEANA EDP 100ML</t>
        </is>
      </c>
      <c r="C1262" s="48" t="n">
        <v>100</v>
      </c>
      <c r="D1262" s="49" t="inlineStr">
        <is>
          <t>Árabe</t>
        </is>
      </c>
      <c r="E1262" s="50" t="n">
        <v>13.25</v>
      </c>
      <c r="F1262" s="51">
        <f>E1262*$B$5*(1+$B$6)</f>
        <v>17225</v>
      </c>
      <c r="G1262" s="51">
        <f>F1262*$B$7</f>
        <v>43062.5</v>
      </c>
      <c r="H1262" s="51">
        <f>G1262-F1262</f>
        <v>25837.5</v>
      </c>
      <c r="I1262" s="52">
        <f>H1262/G1262</f>
        <v>0.6</v>
      </c>
      <c r="J1262" s="53" t="n"/>
      <c r="K1262" s="54" t="n"/>
    </row>
    <row r="1263">
      <c r="A1263" s="39" t="inlineStr">
        <is>
          <t>Maison Alhambra</t>
        </is>
      </c>
      <c r="B1263" s="47" t="inlineStr">
        <is>
          <t>MAISON ALHAMBRA SO CANDID POUR FEMME 100ML</t>
        </is>
      </c>
      <c r="C1263" s="48" t="n">
        <v>100</v>
      </c>
      <c r="D1263" s="49" t="inlineStr">
        <is>
          <t>Árabe</t>
        </is>
      </c>
      <c r="E1263" s="50" t="n">
        <v>12.5</v>
      </c>
      <c r="F1263" s="51">
        <f>E1263*$B$5*(1+$B$6)</f>
        <v>16250</v>
      </c>
      <c r="G1263" s="51">
        <f>F1263*$B$7</f>
        <v>40625</v>
      </c>
      <c r="H1263" s="51">
        <f>G1263-F1263</f>
        <v>24375</v>
      </c>
      <c r="I1263" s="52">
        <f>H1263/G1263</f>
        <v>0.6</v>
      </c>
      <c r="J1263" s="53" t="n"/>
      <c r="K1263" s="54" t="n"/>
    </row>
    <row r="1264">
      <c r="A1264" s="39" t="inlineStr">
        <is>
          <t>Maison Alhambra</t>
        </is>
      </c>
      <c r="B1264" s="47" t="inlineStr">
        <is>
          <t>MAISON ALHAMBRA SO CANDID POUR FEMME 30ML</t>
        </is>
      </c>
      <c r="C1264" s="48" t="n">
        <v>30</v>
      </c>
      <c r="D1264" s="49" t="inlineStr">
        <is>
          <t>Árabe</t>
        </is>
      </c>
      <c r="E1264" s="50" t="n">
        <v>4.7</v>
      </c>
      <c r="F1264" s="51">
        <f>E1264*$B$5*(1+$B$6)</f>
        <v>6110</v>
      </c>
      <c r="G1264" s="51">
        <f>F1264*$B$7</f>
        <v>15275</v>
      </c>
      <c r="H1264" s="51">
        <f>G1264-F1264</f>
        <v>9165</v>
      </c>
      <c r="I1264" s="52">
        <f>H1264/G1264</f>
        <v>0.6</v>
      </c>
      <c r="J1264" s="53" t="n"/>
      <c r="K1264" s="54" t="n"/>
    </row>
    <row r="1265">
      <c r="A1265" s="39" t="inlineStr">
        <is>
          <t>Maison Alhambra</t>
        </is>
      </c>
      <c r="B1265" s="47" t="inlineStr">
        <is>
          <t>MAISON ALHAMBRA SO CANDID ROUGE EDP 85ML</t>
        </is>
      </c>
      <c r="C1265" s="48" t="n">
        <v>85</v>
      </c>
      <c r="D1265" s="49" t="inlineStr">
        <is>
          <t>Árabe</t>
        </is>
      </c>
      <c r="E1265" s="50" t="n">
        <v>14</v>
      </c>
      <c r="F1265" s="51">
        <f>E1265*$B$5*(1+$B$6)</f>
        <v>18200</v>
      </c>
      <c r="G1265" s="51">
        <f>F1265*$B$7</f>
        <v>45500</v>
      </c>
      <c r="H1265" s="51">
        <f>G1265-F1265</f>
        <v>27300</v>
      </c>
      <c r="I1265" s="52">
        <f>H1265/G1265</f>
        <v>0.6</v>
      </c>
      <c r="J1265" s="53" t="n"/>
      <c r="K1265" s="54" t="n"/>
    </row>
    <row r="1266">
      <c r="A1266" s="39" t="inlineStr">
        <is>
          <t>Maison Alhambra</t>
        </is>
      </c>
      <c r="B1266" s="47" t="inlineStr">
        <is>
          <t>MAISON ALHAMBRA SUGAR ME CANDY FLOSS 100ML</t>
        </is>
      </c>
      <c r="C1266" s="48" t="n">
        <v>100</v>
      </c>
      <c r="D1266" s="49" t="inlineStr">
        <is>
          <t>Árabe</t>
        </is>
      </c>
      <c r="E1266" s="50" t="n">
        <v>14</v>
      </c>
      <c r="F1266" s="51">
        <f>E1266*$B$5*(1+$B$6)</f>
        <v>18200</v>
      </c>
      <c r="G1266" s="51">
        <f>F1266*$B$7</f>
        <v>45500</v>
      </c>
      <c r="H1266" s="51">
        <f>G1266-F1266</f>
        <v>27300</v>
      </c>
      <c r="I1266" s="52">
        <f>H1266/G1266</f>
        <v>0.6</v>
      </c>
      <c r="J1266" s="53" t="n"/>
      <c r="K1266" s="54" t="n"/>
    </row>
    <row r="1267">
      <c r="A1267" s="39" t="inlineStr">
        <is>
          <t>Maison Alhambra</t>
        </is>
      </c>
      <c r="B1267" s="47" t="inlineStr">
        <is>
          <t>MAISON ALHAMBRA SUGAR ME DULCE DE LUCHE 100ML</t>
        </is>
      </c>
      <c r="C1267" s="48" t="n">
        <v>100</v>
      </c>
      <c r="D1267" s="49" t="inlineStr">
        <is>
          <t>Árabe</t>
        </is>
      </c>
      <c r="E1267" s="50" t="n">
        <v>13.5</v>
      </c>
      <c r="F1267" s="51">
        <f>E1267*$B$5*(1+$B$6)</f>
        <v>17550</v>
      </c>
      <c r="G1267" s="51">
        <f>F1267*$B$7</f>
        <v>43875</v>
      </c>
      <c r="H1267" s="51">
        <f>G1267-F1267</f>
        <v>26325</v>
      </c>
      <c r="I1267" s="52">
        <f>H1267/G1267</f>
        <v>0.6</v>
      </c>
      <c r="J1267" s="53" t="n"/>
      <c r="K1267" s="54" t="n"/>
    </row>
    <row r="1268">
      <c r="A1268" s="39" t="inlineStr">
        <is>
          <t>Maison Alhambra</t>
        </is>
      </c>
      <c r="B1268" s="47" t="inlineStr">
        <is>
          <t>MAISON ALHAMBRA SUGAR ME MARSHMALLOW DREAM 100ML</t>
        </is>
      </c>
      <c r="C1268" s="48" t="n">
        <v>100</v>
      </c>
      <c r="D1268" s="49" t="inlineStr">
        <is>
          <t>Árabe</t>
        </is>
      </c>
      <c r="E1268" s="50" t="n">
        <v>14</v>
      </c>
      <c r="F1268" s="51">
        <f>E1268*$B$5*(1+$B$6)</f>
        <v>18200</v>
      </c>
      <c r="G1268" s="51">
        <f>F1268*$B$7</f>
        <v>45500</v>
      </c>
      <c r="H1268" s="51">
        <f>G1268-F1268</f>
        <v>27300</v>
      </c>
      <c r="I1268" s="52">
        <f>H1268/G1268</f>
        <v>0.6</v>
      </c>
      <c r="J1268" s="53" t="n"/>
      <c r="K1268" s="54" t="n"/>
    </row>
    <row r="1269">
      <c r="A1269" s="39" t="inlineStr">
        <is>
          <t>Maison Alhambra</t>
        </is>
      </c>
      <c r="B1269" s="47" t="inlineStr">
        <is>
          <t>MAISON ALHAMBRA SUMMER FOREVER EDP 30ML</t>
        </is>
      </c>
      <c r="C1269" s="48" t="n">
        <v>30</v>
      </c>
      <c r="D1269" s="49" t="inlineStr">
        <is>
          <t>Árabe</t>
        </is>
      </c>
      <c r="E1269" s="50" t="n">
        <v>4.7</v>
      </c>
      <c r="F1269" s="51">
        <f>E1269*$B$5*(1+$B$6)</f>
        <v>6110</v>
      </c>
      <c r="G1269" s="51">
        <f>F1269*$B$7</f>
        <v>15275</v>
      </c>
      <c r="H1269" s="51">
        <f>G1269-F1269</f>
        <v>9165</v>
      </c>
      <c r="I1269" s="52">
        <f>H1269/G1269</f>
        <v>0.6</v>
      </c>
      <c r="J1269" s="53" t="n"/>
      <c r="K1269" s="54" t="n"/>
    </row>
    <row r="1270">
      <c r="A1270" s="39" t="inlineStr">
        <is>
          <t>Maison Alhambra</t>
        </is>
      </c>
      <c r="B1270" s="47" t="inlineStr">
        <is>
          <t>MAISON ALHAMBRA TONIC ICE EDP 100ML</t>
        </is>
      </c>
      <c r="C1270" s="48" t="n">
        <v>100</v>
      </c>
      <c r="D1270" s="49" t="inlineStr">
        <is>
          <t>Árabe</t>
        </is>
      </c>
      <c r="E1270" s="50" t="n">
        <v>13</v>
      </c>
      <c r="F1270" s="51">
        <f>E1270*$B$5*(1+$B$6)</f>
        <v>16900</v>
      </c>
      <c r="G1270" s="51">
        <f>F1270*$B$7</f>
        <v>42250</v>
      </c>
      <c r="H1270" s="51">
        <f>G1270-F1270</f>
        <v>25350</v>
      </c>
      <c r="I1270" s="52">
        <f>H1270/G1270</f>
        <v>0.6</v>
      </c>
      <c r="J1270" s="53" t="n"/>
      <c r="K1270" s="54" t="n"/>
    </row>
    <row r="1271">
      <c r="A1271" s="39" t="inlineStr">
        <is>
          <t>Maison Alhambra</t>
        </is>
      </c>
      <c r="B1271" s="47" t="inlineStr">
        <is>
          <t>MAISON ALHAMBRA TONIC MALT EDP 100ML</t>
        </is>
      </c>
      <c r="C1271" s="48" t="n">
        <v>100</v>
      </c>
      <c r="D1271" s="49" t="inlineStr">
        <is>
          <t>Árabe</t>
        </is>
      </c>
      <c r="E1271" s="50" t="n">
        <v>11</v>
      </c>
      <c r="F1271" s="51">
        <f>E1271*$B$5*(1+$B$6)</f>
        <v>14300</v>
      </c>
      <c r="G1271" s="51">
        <f>F1271*$B$7</f>
        <v>35750</v>
      </c>
      <c r="H1271" s="51">
        <f>G1271-F1271</f>
        <v>21450</v>
      </c>
      <c r="I1271" s="52">
        <f>H1271/G1271</f>
        <v>0.6</v>
      </c>
      <c r="J1271" s="53" t="n"/>
      <c r="K1271" s="54" t="n"/>
    </row>
    <row r="1272">
      <c r="A1272" s="39" t="inlineStr">
        <is>
          <t>Maison Alhambra</t>
        </is>
      </c>
      <c r="B1272" s="47" t="inlineStr">
        <is>
          <t>MAISON ALHAMBRA VICTORIA FLOWER ROSA LILIUM EDP 100ML</t>
        </is>
      </c>
      <c r="C1272" s="48" t="n">
        <v>100</v>
      </c>
      <c r="D1272" s="49" t="inlineStr">
        <is>
          <t>Árabe</t>
        </is>
      </c>
      <c r="E1272" s="50" t="n">
        <v>11</v>
      </c>
      <c r="F1272" s="51">
        <f>E1272*$B$5*(1+$B$6)</f>
        <v>14300</v>
      </c>
      <c r="G1272" s="51">
        <f>F1272*$B$7</f>
        <v>35750</v>
      </c>
      <c r="H1272" s="51">
        <f>G1272-F1272</f>
        <v>21450</v>
      </c>
      <c r="I1272" s="52">
        <f>H1272/G1272</f>
        <v>0.6</v>
      </c>
      <c r="J1272" s="53" t="n"/>
      <c r="K1272" s="54" t="n"/>
    </row>
    <row r="1273">
      <c r="A1273" s="39" t="inlineStr">
        <is>
          <t>Maison Alhambra</t>
        </is>
      </c>
      <c r="B1273" s="47" t="inlineStr">
        <is>
          <t>MAISON ALHAMBRA VICTORIOSO 30ML</t>
        </is>
      </c>
      <c r="C1273" s="48" t="n">
        <v>30</v>
      </c>
      <c r="D1273" s="49" t="inlineStr">
        <is>
          <t>Árabe</t>
        </is>
      </c>
      <c r="E1273" s="50" t="n">
        <v>4.7</v>
      </c>
      <c r="F1273" s="51">
        <f>E1273*$B$5*(1+$B$6)</f>
        <v>6110</v>
      </c>
      <c r="G1273" s="51">
        <f>F1273*$B$7</f>
        <v>15275</v>
      </c>
      <c r="H1273" s="51">
        <f>G1273-F1273</f>
        <v>9165</v>
      </c>
      <c r="I1273" s="52">
        <f>H1273/G1273</f>
        <v>0.6</v>
      </c>
      <c r="J1273" s="53" t="n"/>
      <c r="K1273" s="54" t="n"/>
    </row>
    <row r="1274">
      <c r="A1274" s="39" t="inlineStr">
        <is>
          <t>Maison Alhambra</t>
        </is>
      </c>
      <c r="B1274" s="47" t="inlineStr">
        <is>
          <t>MAISON ALHAMBRA VICTORIOSO EDP 100ML</t>
        </is>
      </c>
      <c r="C1274" s="48" t="n">
        <v>100</v>
      </c>
      <c r="D1274" s="49" t="inlineStr">
        <is>
          <t>Árabe</t>
        </is>
      </c>
      <c r="E1274" s="50" t="n">
        <v>11</v>
      </c>
      <c r="F1274" s="51">
        <f>E1274*$B$5*(1+$B$6)</f>
        <v>14300</v>
      </c>
      <c r="G1274" s="51">
        <f>F1274*$B$7</f>
        <v>35750</v>
      </c>
      <c r="H1274" s="51">
        <f>G1274-F1274</f>
        <v>21450</v>
      </c>
      <c r="I1274" s="52">
        <f>H1274/G1274</f>
        <v>0.6</v>
      </c>
      <c r="J1274" s="53" t="n"/>
      <c r="K1274" s="54" t="n"/>
    </row>
    <row r="1275">
      <c r="A1275" s="39" t="inlineStr">
        <is>
          <t>Maison Alhambra</t>
        </is>
      </c>
      <c r="B1275" s="47" t="inlineStr">
        <is>
          <t>MAISON ALHAMBRA VICTORIOSO FEARLESS EDP 100ML</t>
        </is>
      </c>
      <c r="C1275" s="48" t="n">
        <v>100</v>
      </c>
      <c r="D1275" s="49" t="inlineStr">
        <is>
          <t>Árabe</t>
        </is>
      </c>
      <c r="E1275" s="50" t="n">
        <v>10.5</v>
      </c>
      <c r="F1275" s="51">
        <f>E1275*$B$5*(1+$B$6)</f>
        <v>13650</v>
      </c>
      <c r="G1275" s="51">
        <f>F1275*$B$7</f>
        <v>34125</v>
      </c>
      <c r="H1275" s="51">
        <f>G1275-F1275</f>
        <v>20475</v>
      </c>
      <c r="I1275" s="52">
        <f>H1275/G1275</f>
        <v>0.6</v>
      </c>
      <c r="J1275" s="53" t="n"/>
      <c r="K1275" s="54" t="n"/>
    </row>
    <row r="1276">
      <c r="A1276" s="39" t="inlineStr">
        <is>
          <t>Maison Alhambra</t>
        </is>
      </c>
      <c r="B1276" s="47" t="inlineStr">
        <is>
          <t>MAISON ALHAMBRA VICTORIOSO HEROIC EDP 100ML</t>
        </is>
      </c>
      <c r="C1276" s="48" t="n">
        <v>100</v>
      </c>
      <c r="D1276" s="49" t="inlineStr">
        <is>
          <t>Árabe</t>
        </is>
      </c>
      <c r="E1276" s="50" t="n">
        <v>11.4</v>
      </c>
      <c r="F1276" s="51">
        <f>E1276*$B$5*(1+$B$6)</f>
        <v>14820</v>
      </c>
      <c r="G1276" s="51">
        <f>F1276*$B$7</f>
        <v>37050</v>
      </c>
      <c r="H1276" s="51">
        <f>G1276-F1276</f>
        <v>22230</v>
      </c>
      <c r="I1276" s="52">
        <f>H1276/G1276</f>
        <v>0.6</v>
      </c>
      <c r="J1276" s="53" t="n"/>
      <c r="K1276" s="54" t="n"/>
    </row>
    <row r="1277">
      <c r="A1277" s="39" t="inlineStr">
        <is>
          <t>Maison Alhambra</t>
        </is>
      </c>
      <c r="B1277" s="47" t="inlineStr">
        <is>
          <t>MAISON ALHAMBRA VICTORIOSO LEGACY EDP 100ML</t>
        </is>
      </c>
      <c r="C1277" s="48" t="n">
        <v>100</v>
      </c>
      <c r="D1277" s="49" t="inlineStr">
        <is>
          <t>Árabe</t>
        </is>
      </c>
      <c r="E1277" s="50" t="n">
        <v>11.5</v>
      </c>
      <c r="F1277" s="51">
        <f>E1277*$B$5*(1+$B$6)</f>
        <v>14950</v>
      </c>
      <c r="G1277" s="51">
        <f>F1277*$B$7</f>
        <v>37375</v>
      </c>
      <c r="H1277" s="51">
        <f>G1277-F1277</f>
        <v>22425</v>
      </c>
      <c r="I1277" s="52">
        <f>H1277/G1277</f>
        <v>0.6</v>
      </c>
      <c r="J1277" s="53" t="n"/>
      <c r="K1277" s="54" t="n"/>
    </row>
    <row r="1278">
      <c r="A1278" s="39" t="inlineStr">
        <is>
          <t>Maison Alhambra</t>
        </is>
      </c>
      <c r="B1278" s="47" t="inlineStr">
        <is>
          <t>MAISON ALHAMBRA VICTORIOSO NERO EDP 100ML (BLACK)</t>
        </is>
      </c>
      <c r="C1278" s="48" t="n">
        <v>100</v>
      </c>
      <c r="D1278" s="49" t="inlineStr">
        <is>
          <t>Árabe</t>
        </is>
      </c>
      <c r="E1278" s="50" t="n">
        <v>13.75</v>
      </c>
      <c r="F1278" s="51">
        <f>E1278*$B$5*(1+$B$6)</f>
        <v>17875</v>
      </c>
      <c r="G1278" s="51">
        <f>F1278*$B$7</f>
        <v>44687.5</v>
      </c>
      <c r="H1278" s="51">
        <f>G1278-F1278</f>
        <v>26812.5</v>
      </c>
      <c r="I1278" s="52">
        <f>H1278/G1278</f>
        <v>0.6</v>
      </c>
      <c r="J1278" s="53" t="n"/>
      <c r="K1278" s="54" t="n"/>
    </row>
    <row r="1279">
      <c r="A1279" s="39" t="inlineStr">
        <is>
          <t>Maison Alhambra</t>
        </is>
      </c>
      <c r="B1279" s="47" t="inlineStr">
        <is>
          <t>MAISON ALHAMBRA VOGUE NIGHT EDP 100ML</t>
        </is>
      </c>
      <c r="C1279" s="48" t="n">
        <v>100</v>
      </c>
      <c r="D1279" s="49" t="inlineStr">
        <is>
          <t>Árabe</t>
        </is>
      </c>
      <c r="E1279" s="50" t="n">
        <v>13</v>
      </c>
      <c r="F1279" s="51">
        <f>E1279*$B$5*(1+$B$6)</f>
        <v>16900</v>
      </c>
      <c r="G1279" s="51">
        <f>F1279*$B$7</f>
        <v>42250</v>
      </c>
      <c r="H1279" s="51">
        <f>G1279-F1279</f>
        <v>25350</v>
      </c>
      <c r="I1279" s="52">
        <f>H1279/G1279</f>
        <v>0.6</v>
      </c>
      <c r="J1279" s="53" t="n"/>
      <c r="K1279" s="54" t="n"/>
    </row>
    <row r="1280">
      <c r="A1280" s="39" t="inlineStr">
        <is>
          <t>Maison Alhambra</t>
        </is>
      </c>
      <c r="B1280" s="47" t="inlineStr">
        <is>
          <t>MAISON ALHAMBRA VOGUE ROUGE EDP 100ML</t>
        </is>
      </c>
      <c r="C1280" s="48" t="n">
        <v>100</v>
      </c>
      <c r="D1280" s="49" t="inlineStr">
        <is>
          <t>Árabe</t>
        </is>
      </c>
      <c r="E1280" s="50" t="n">
        <v>13</v>
      </c>
      <c r="F1280" s="51">
        <f>E1280*$B$5*(1+$B$6)</f>
        <v>16900</v>
      </c>
      <c r="G1280" s="51">
        <f>F1280*$B$7</f>
        <v>42250</v>
      </c>
      <c r="H1280" s="51">
        <f>G1280-F1280</f>
        <v>25350</v>
      </c>
      <c r="I1280" s="52">
        <f>H1280/G1280</f>
        <v>0.6</v>
      </c>
      <c r="J1280" s="53" t="n"/>
      <c r="K1280" s="54" t="n"/>
    </row>
    <row r="1281">
      <c r="A1281" s="39" t="inlineStr">
        <is>
          <t>Maison Alhambra</t>
        </is>
      </c>
      <c r="B1281" s="47" t="inlineStr">
        <is>
          <t>MAISON ALHAMBRA YEAH MAN EDP 100ML</t>
        </is>
      </c>
      <c r="C1281" s="48" t="n">
        <v>100</v>
      </c>
      <c r="D1281" s="49" t="inlineStr">
        <is>
          <t>Árabe</t>
        </is>
      </c>
      <c r="E1281" s="50" t="n">
        <v>11.9</v>
      </c>
      <c r="F1281" s="51">
        <f>E1281*$B$5*(1+$B$6)</f>
        <v>15470</v>
      </c>
      <c r="G1281" s="51">
        <f>F1281*$B$7</f>
        <v>38675</v>
      </c>
      <c r="H1281" s="51">
        <f>G1281-F1281</f>
        <v>23205</v>
      </c>
      <c r="I1281" s="52">
        <f>H1281/G1281</f>
        <v>0.6</v>
      </c>
      <c r="J1281" s="53" t="n"/>
      <c r="K1281" s="54" t="n"/>
    </row>
    <row r="1282">
      <c r="A1282" s="39" t="inlineStr">
        <is>
          <t>Maison Alhambra</t>
        </is>
      </c>
      <c r="B1282" s="47" t="inlineStr">
        <is>
          <t>MAISON ALHAMBRA YEAH MAN PARFUM EDP 100ML</t>
        </is>
      </c>
      <c r="C1282" s="48" t="n">
        <v>100</v>
      </c>
      <c r="D1282" s="49" t="inlineStr">
        <is>
          <t>Árabe</t>
        </is>
      </c>
      <c r="E1282" s="50" t="n">
        <v>15</v>
      </c>
      <c r="F1282" s="51">
        <f>E1282*$B$5*(1+$B$6)</f>
        <v>19500</v>
      </c>
      <c r="G1282" s="51">
        <f>F1282*$B$7</f>
        <v>48750</v>
      </c>
      <c r="H1282" s="51">
        <f>G1282-F1282</f>
        <v>29250</v>
      </c>
      <c r="I1282" s="52">
        <f>H1282/G1282</f>
        <v>0.6</v>
      </c>
      <c r="J1282" s="53" t="n"/>
      <c r="K1282" s="54" t="n"/>
    </row>
    <row r="1283">
      <c r="A1283" s="39" t="inlineStr">
        <is>
          <t>Maison Alhambra</t>
        </is>
      </c>
      <c r="B1283" s="47" t="inlineStr">
        <is>
          <t>MAISON ALHAMBRA YOUR TOUCH AMBER 100ML</t>
        </is>
      </c>
      <c r="C1283" s="48" t="n">
        <v>100</v>
      </c>
      <c r="D1283" s="49" t="inlineStr">
        <is>
          <t>Árabe</t>
        </is>
      </c>
      <c r="E1283" s="50" t="n">
        <v>11.5</v>
      </c>
      <c r="F1283" s="51">
        <f>E1283*$B$5*(1+$B$6)</f>
        <v>14950</v>
      </c>
      <c r="G1283" s="51">
        <f>F1283*$B$7</f>
        <v>37375</v>
      </c>
      <c r="H1283" s="51">
        <f>G1283-F1283</f>
        <v>22425</v>
      </c>
      <c r="I1283" s="52">
        <f>H1283/G1283</f>
        <v>0.6</v>
      </c>
      <c r="J1283" s="53" t="n"/>
      <c r="K1283" s="54" t="n"/>
    </row>
    <row r="1284">
      <c r="A1284" s="39" t="inlineStr">
        <is>
          <t>Maison Alhambra</t>
        </is>
      </c>
      <c r="B1284" s="47" t="inlineStr">
        <is>
          <t>MAISON ALHAMBRA YOUR TOUCH EXTRAIT EDP 100ML</t>
        </is>
      </c>
      <c r="C1284" s="48" t="n">
        <v>100</v>
      </c>
      <c r="D1284" s="49" t="inlineStr">
        <is>
          <t>Árabe</t>
        </is>
      </c>
      <c r="E1284" s="50" t="n">
        <v>10</v>
      </c>
      <c r="F1284" s="51">
        <f>E1284*$B$5*(1+$B$6)</f>
        <v>13000</v>
      </c>
      <c r="G1284" s="51">
        <f>F1284*$B$7</f>
        <v>32500</v>
      </c>
      <c r="H1284" s="51">
        <f>G1284-F1284</f>
        <v>19500</v>
      </c>
      <c r="I1284" s="52">
        <f>H1284/G1284</f>
        <v>0.6</v>
      </c>
      <c r="J1284" s="53" t="n"/>
      <c r="K1284" s="54" t="n"/>
    </row>
    <row r="1285">
      <c r="A1285" s="39" t="inlineStr">
        <is>
          <t>Maison Alhambra</t>
        </is>
      </c>
      <c r="B1285" s="47" t="inlineStr">
        <is>
          <t>MAISON ALHAMBRA YOUR TOUCH LEATHER 100ML</t>
        </is>
      </c>
      <c r="C1285" s="48" t="n">
        <v>100</v>
      </c>
      <c r="D1285" s="49" t="inlineStr">
        <is>
          <t>Árabe</t>
        </is>
      </c>
      <c r="E1285" s="50" t="n">
        <v>10</v>
      </c>
      <c r="F1285" s="51">
        <f>E1285*$B$5*(1+$B$6)</f>
        <v>13000</v>
      </c>
      <c r="G1285" s="51">
        <f>F1285*$B$7</f>
        <v>32500</v>
      </c>
      <c r="H1285" s="51">
        <f>G1285-F1285</f>
        <v>19500</v>
      </c>
      <c r="I1285" s="52">
        <f>H1285/G1285</f>
        <v>0.6</v>
      </c>
      <c r="J1285" s="53" t="n"/>
      <c r="K1285" s="54" t="n"/>
    </row>
    <row r="1286">
      <c r="A1286" s="39" t="inlineStr">
        <is>
          <t>Maison Alhambra</t>
        </is>
      </c>
      <c r="B1286" s="47" t="inlineStr">
        <is>
          <t>MAISON ALHAMBRA ZENO EDP 30ML</t>
        </is>
      </c>
      <c r="C1286" s="48" t="n">
        <v>30</v>
      </c>
      <c r="D1286" s="49" t="inlineStr">
        <is>
          <t>Árabe</t>
        </is>
      </c>
      <c r="E1286" s="50" t="n">
        <v>4.7</v>
      </c>
      <c r="F1286" s="51">
        <f>E1286*$B$5*(1+$B$6)</f>
        <v>6110</v>
      </c>
      <c r="G1286" s="51">
        <f>F1286*$B$7</f>
        <v>15275</v>
      </c>
      <c r="H1286" s="51">
        <f>G1286-F1286</f>
        <v>9165</v>
      </c>
      <c r="I1286" s="52">
        <f>H1286/G1286</f>
        <v>0.6</v>
      </c>
      <c r="J1286" s="53" t="n"/>
      <c r="K1286" s="54" t="n"/>
    </row>
    <row r="1287">
      <c r="A1287" s="39" t="inlineStr">
        <is>
          <t>Maison Asrar</t>
        </is>
      </c>
      <c r="B1287" s="47" t="inlineStr">
        <is>
          <t>MAISON ASRAR LEGACY ROYAL COLLECTION EDP 100ML</t>
        </is>
      </c>
      <c r="C1287" s="48" t="n">
        <v>100</v>
      </c>
      <c r="D1287" s="49" t="inlineStr">
        <is>
          <t>Árabe</t>
        </is>
      </c>
      <c r="E1287" s="50" t="n">
        <v>38</v>
      </c>
      <c r="F1287" s="51">
        <f>E1287*$B$5*(1+$B$6)</f>
        <v>49400</v>
      </c>
      <c r="G1287" s="51">
        <f>F1287*$B$7</f>
        <v>123500</v>
      </c>
      <c r="H1287" s="51">
        <f>G1287-F1287</f>
        <v>74100</v>
      </c>
      <c r="I1287" s="52">
        <f>H1287/G1287</f>
        <v>0.6</v>
      </c>
      <c r="J1287" s="53" t="n"/>
      <c r="K1287" s="54" t="n"/>
    </row>
    <row r="1288">
      <c r="A1288" s="39" t="inlineStr">
        <is>
          <t>Maison Asrar</t>
        </is>
      </c>
      <c r="B1288" s="47" t="inlineStr">
        <is>
          <t>MAISON ASRAR MASTERPIECE EDP 100ML</t>
        </is>
      </c>
      <c r="C1288" s="48" t="n">
        <v>100</v>
      </c>
      <c r="D1288" s="49" t="inlineStr">
        <is>
          <t>Árabe</t>
        </is>
      </c>
      <c r="E1288" s="50" t="n">
        <v>25</v>
      </c>
      <c r="F1288" s="51">
        <f>E1288*$B$5*(1+$B$6)</f>
        <v>32500</v>
      </c>
      <c r="G1288" s="51">
        <f>F1288*$B$7</f>
        <v>81250</v>
      </c>
      <c r="H1288" s="51">
        <f>G1288-F1288</f>
        <v>48750</v>
      </c>
      <c r="I1288" s="52">
        <f>H1288/G1288</f>
        <v>0.6</v>
      </c>
      <c r="J1288" s="53" t="n"/>
      <c r="K1288" s="54" t="n"/>
    </row>
    <row r="1289">
      <c r="A1289" s="39" t="inlineStr">
        <is>
          <t>Maison Asrar</t>
        </is>
      </c>
      <c r="B1289" s="47" t="inlineStr">
        <is>
          <t>MAISON ASRAR OH HONEY EDP 100ML</t>
        </is>
      </c>
      <c r="C1289" s="48" t="n">
        <v>100</v>
      </c>
      <c r="D1289" s="49" t="inlineStr">
        <is>
          <t>Árabe</t>
        </is>
      </c>
      <c r="E1289" s="50" t="n">
        <v>36</v>
      </c>
      <c r="F1289" s="51">
        <f>E1289*$B$5*(1+$B$6)</f>
        <v>46800</v>
      </c>
      <c r="G1289" s="51">
        <f>F1289*$B$7</f>
        <v>117000</v>
      </c>
      <c r="H1289" s="51">
        <f>G1289-F1289</f>
        <v>70200</v>
      </c>
      <c r="I1289" s="52">
        <f>H1289/G1289</f>
        <v>0.6</v>
      </c>
      <c r="J1289" s="53" t="n"/>
      <c r="K1289" s="54" t="n"/>
    </row>
    <row r="1290">
      <c r="A1290" s="39" t="inlineStr">
        <is>
          <t>Maison Asrar</t>
        </is>
      </c>
      <c r="B1290" s="47" t="inlineStr">
        <is>
          <t>MAISON ASRAR REY EDP 100ML</t>
        </is>
      </c>
      <c r="C1290" s="48" t="n">
        <v>100</v>
      </c>
      <c r="D1290" s="49" t="inlineStr">
        <is>
          <t>Árabe</t>
        </is>
      </c>
      <c r="E1290" s="50" t="n">
        <v>28</v>
      </c>
      <c r="F1290" s="51">
        <f>E1290*$B$5*(1+$B$6)</f>
        <v>36400</v>
      </c>
      <c r="G1290" s="51">
        <f>F1290*$B$7</f>
        <v>91000</v>
      </c>
      <c r="H1290" s="51">
        <f>G1290-F1290</f>
        <v>54600</v>
      </c>
      <c r="I1290" s="52">
        <f>H1290/G1290</f>
        <v>0.6</v>
      </c>
      <c r="J1290" s="53" t="n"/>
      <c r="K1290" s="54" t="n"/>
    </row>
    <row r="1291">
      <c r="A1291" s="39" t="inlineStr">
        <is>
          <t>Maison Asrar</t>
        </is>
      </c>
      <c r="B1291" s="47" t="inlineStr">
        <is>
          <t>MAISON ASRAR SILVER ELIXIR EDP 110ML</t>
        </is>
      </c>
      <c r="C1291" s="48" t="n">
        <v>110</v>
      </c>
      <c r="D1291" s="49" t="inlineStr">
        <is>
          <t>Árabe</t>
        </is>
      </c>
      <c r="E1291" s="50" t="n">
        <v>31</v>
      </c>
      <c r="F1291" s="51">
        <f>E1291*$B$5*(1+$B$6)</f>
        <v>40300</v>
      </c>
      <c r="G1291" s="51">
        <f>F1291*$B$7</f>
        <v>100750</v>
      </c>
      <c r="H1291" s="51">
        <f>G1291-F1291</f>
        <v>60450</v>
      </c>
      <c r="I1291" s="52">
        <f>H1291/G1291</f>
        <v>0.6</v>
      </c>
      <c r="J1291" s="53" t="n"/>
      <c r="K1291" s="54" t="n"/>
    </row>
    <row r="1292">
      <c r="A1292" s="39" t="inlineStr">
        <is>
          <t>Maison Asrar</t>
        </is>
      </c>
      <c r="B1292" s="47" t="inlineStr">
        <is>
          <t>MAISON ASRAR THRONE ECLIPSE EDP 100ML</t>
        </is>
      </c>
      <c r="C1292" s="48" t="n">
        <v>100</v>
      </c>
      <c r="D1292" s="49" t="inlineStr">
        <is>
          <t>Árabe</t>
        </is>
      </c>
      <c r="E1292" s="50" t="n">
        <v>29</v>
      </c>
      <c r="F1292" s="51">
        <f>E1292*$B$5*(1+$B$6)</f>
        <v>37700</v>
      </c>
      <c r="G1292" s="51">
        <f>F1292*$B$7</f>
        <v>94250</v>
      </c>
      <c r="H1292" s="51">
        <f>G1292-F1292</f>
        <v>56550</v>
      </c>
      <c r="I1292" s="52">
        <f>H1292/G1292</f>
        <v>0.6</v>
      </c>
      <c r="J1292" s="53" t="n"/>
      <c r="K1292" s="54" t="n"/>
    </row>
    <row r="1293">
      <c r="A1293" s="39" t="inlineStr">
        <is>
          <t>Maison Asrar</t>
        </is>
      </c>
      <c r="B1293" s="47" t="inlineStr">
        <is>
          <t>MAISON ASRAR THRONE EDP 100ML</t>
        </is>
      </c>
      <c r="C1293" s="48" t="n">
        <v>100</v>
      </c>
      <c r="D1293" s="49" t="inlineStr">
        <is>
          <t>Árabe</t>
        </is>
      </c>
      <c r="E1293" s="50" t="n">
        <v>29</v>
      </c>
      <c r="F1293" s="51">
        <f>E1293*$B$5*(1+$B$6)</f>
        <v>37700</v>
      </c>
      <c r="G1293" s="51">
        <f>F1293*$B$7</f>
        <v>94250</v>
      </c>
      <c r="H1293" s="51">
        <f>G1293-F1293</f>
        <v>56550</v>
      </c>
      <c r="I1293" s="52">
        <f>H1293/G1293</f>
        <v>0.6</v>
      </c>
      <c r="J1293" s="53" t="n"/>
      <c r="K1293" s="54" t="n"/>
    </row>
    <row r="1294">
      <c r="A1294" s="39" t="inlineStr">
        <is>
          <t>Maison Asrar</t>
        </is>
      </c>
      <c r="B1294" s="47" t="inlineStr">
        <is>
          <t>MAISON ASRAR TIMELESS EDP 100ML</t>
        </is>
      </c>
      <c r="C1294" s="48" t="n">
        <v>100</v>
      </c>
      <c r="D1294" s="49" t="inlineStr">
        <is>
          <t>Árabe</t>
        </is>
      </c>
      <c r="E1294" s="50" t="n">
        <v>25</v>
      </c>
      <c r="F1294" s="51">
        <f>E1294*$B$5*(1+$B$6)</f>
        <v>32500</v>
      </c>
      <c r="G1294" s="51">
        <f>F1294*$B$7</f>
        <v>81250</v>
      </c>
      <c r="H1294" s="51">
        <f>G1294-F1294</f>
        <v>48750</v>
      </c>
      <c r="I1294" s="52">
        <f>H1294/G1294</f>
        <v>0.6</v>
      </c>
      <c r="J1294" s="53" t="n"/>
      <c r="K1294" s="54" t="n"/>
    </row>
    <row r="1295">
      <c r="A1295" s="39" t="inlineStr">
        <is>
          <t>Maison Asrar</t>
        </is>
      </c>
      <c r="B1295" s="47" t="inlineStr">
        <is>
          <t>MAISON ASRAR VISION EDP 100ML</t>
        </is>
      </c>
      <c r="C1295" s="48" t="n">
        <v>100</v>
      </c>
      <c r="D1295" s="49" t="inlineStr">
        <is>
          <t>Árabe</t>
        </is>
      </c>
      <c r="E1295" s="50" t="n">
        <v>40</v>
      </c>
      <c r="F1295" s="51">
        <f>E1295*$B$5*(1+$B$6)</f>
        <v>52000</v>
      </c>
      <c r="G1295" s="51">
        <f>F1295*$B$7</f>
        <v>130000</v>
      </c>
      <c r="H1295" s="51">
        <f>G1295-F1295</f>
        <v>78000</v>
      </c>
      <c r="I1295" s="52">
        <f>H1295/G1295</f>
        <v>0.6</v>
      </c>
      <c r="J1295" s="53" t="n"/>
      <c r="K1295" s="54" t="n"/>
    </row>
    <row r="1296">
      <c r="A1296" s="39" t="inlineStr">
        <is>
          <t>Maison Crivelli</t>
        </is>
      </c>
      <c r="B1296" s="47" t="inlineStr">
        <is>
          <t>MAISON CRIVELLI ABSINTHE BOREALE EDP 100ML</t>
        </is>
      </c>
      <c r="C1296" s="48" t="n">
        <v>100</v>
      </c>
      <c r="D1296" s="49" t="inlineStr">
        <is>
          <t>Nicho</t>
        </is>
      </c>
      <c r="E1296" s="50" t="n">
        <v>240</v>
      </c>
      <c r="F1296" s="51">
        <f>E1296*$B$5*(1+$B$6)</f>
        <v>312000</v>
      </c>
      <c r="G1296" s="51">
        <f>F1296*$B$7</f>
        <v>780000</v>
      </c>
      <c r="H1296" s="51">
        <f>G1296-F1296</f>
        <v>468000</v>
      </c>
      <c r="I1296" s="52">
        <f>H1296/G1296</f>
        <v>0.6</v>
      </c>
      <c r="J1296" s="53" t="n"/>
      <c r="K1296" s="54" t="n"/>
    </row>
    <row r="1297">
      <c r="A1297" s="39" t="inlineStr">
        <is>
          <t>Maison Crivelli</t>
        </is>
      </c>
      <c r="B1297" s="47" t="inlineStr">
        <is>
          <t>MAISON CRIVELLI BOIS DATCHAI EDP 100ML</t>
        </is>
      </c>
      <c r="C1297" s="48" t="n">
        <v>100</v>
      </c>
      <c r="D1297" s="49" t="inlineStr">
        <is>
          <t>Nicho</t>
        </is>
      </c>
      <c r="E1297" s="50" t="n">
        <v>240</v>
      </c>
      <c r="F1297" s="51">
        <f>E1297*$B$5*(1+$B$6)</f>
        <v>312000</v>
      </c>
      <c r="G1297" s="51">
        <f>F1297*$B$7</f>
        <v>780000</v>
      </c>
      <c r="H1297" s="51">
        <f>G1297-F1297</f>
        <v>468000</v>
      </c>
      <c r="I1297" s="52">
        <f>H1297/G1297</f>
        <v>0.6</v>
      </c>
      <c r="J1297" s="53" t="n"/>
      <c r="K1297" s="54" t="n"/>
    </row>
    <row r="1298">
      <c r="A1298" s="39" t="inlineStr">
        <is>
          <t>Maison Crivelli</t>
        </is>
      </c>
      <c r="B1298" s="47" t="inlineStr">
        <is>
          <t>MAISON CRIVELLI SANTAL VOLCANIQUE EDP 100ML</t>
        </is>
      </c>
      <c r="C1298" s="48" t="n">
        <v>100</v>
      </c>
      <c r="D1298" s="49" t="inlineStr">
        <is>
          <t>Nicho</t>
        </is>
      </c>
      <c r="E1298" s="50" t="n">
        <v>240</v>
      </c>
      <c r="F1298" s="51">
        <f>E1298*$B$5*(1+$B$6)</f>
        <v>312000</v>
      </c>
      <c r="G1298" s="51">
        <f>F1298*$B$7</f>
        <v>780000</v>
      </c>
      <c r="H1298" s="51">
        <f>G1298-F1298</f>
        <v>468000</v>
      </c>
      <c r="I1298" s="52">
        <f>H1298/G1298</f>
        <v>0.6</v>
      </c>
      <c r="J1298" s="53" t="n"/>
      <c r="K1298" s="54" t="n"/>
    </row>
    <row r="1299">
      <c r="A1299" s="39" t="inlineStr">
        <is>
          <t>Maison Francis Kurkdjian</t>
        </is>
      </c>
      <c r="B1299" s="47" t="inlineStr">
        <is>
          <t>MAISON FRANCIS KURKDJIAN AMYRIS FEMME EDP 70ML</t>
        </is>
      </c>
      <c r="C1299" s="48" t="n">
        <v>70</v>
      </c>
      <c r="D1299" s="49" t="inlineStr">
        <is>
          <t>Nicho</t>
        </is>
      </c>
      <c r="E1299" s="50" t="n">
        <v>230</v>
      </c>
      <c r="F1299" s="51">
        <f>E1299*$B$5*(1+$B$6)</f>
        <v>299000</v>
      </c>
      <c r="G1299" s="51">
        <f>F1299*$B$7</f>
        <v>747500</v>
      </c>
      <c r="H1299" s="51">
        <f>G1299-F1299</f>
        <v>448500</v>
      </c>
      <c r="I1299" s="52">
        <f>H1299/G1299</f>
        <v>0.6</v>
      </c>
      <c r="J1299" s="53" t="n"/>
      <c r="K1299" s="54" t="n"/>
    </row>
    <row r="1300">
      <c r="A1300" s="39" t="inlineStr">
        <is>
          <t>Maison Francis Kurkdjian</t>
        </is>
      </c>
      <c r="B1300" s="47" t="inlineStr">
        <is>
          <t>MAISON FRANCIS KURKDJIAN BACCARAT ROUGE 540 EDP 70ML (CAIXA BRANCA)</t>
        </is>
      </c>
      <c r="C1300" s="48" t="n">
        <v>70</v>
      </c>
      <c r="D1300" s="49" t="inlineStr">
        <is>
          <t>Nicho</t>
        </is>
      </c>
      <c r="E1300" s="50" t="n">
        <v>370</v>
      </c>
      <c r="F1300" s="51">
        <f>E1300*$B$5*(1+$B$6)</f>
        <v>481000</v>
      </c>
      <c r="G1300" s="51">
        <f>F1300*$B$7</f>
        <v>1202500</v>
      </c>
      <c r="H1300" s="51">
        <f>G1300-F1300</f>
        <v>721500</v>
      </c>
      <c r="I1300" s="52">
        <f>H1300/G1300</f>
        <v>0.6</v>
      </c>
      <c r="J1300" s="53" t="n"/>
      <c r="K1300" s="54" t="n"/>
    </row>
    <row r="1301">
      <c r="A1301" s="39" t="inlineStr">
        <is>
          <t>Maison Margiela</t>
        </is>
      </c>
      <c r="B1301" s="47" t="inlineStr">
        <is>
          <t>MAISON MARGIELA REPLICA LAZY SUNDAY MORNING EDT 100ML</t>
        </is>
      </c>
      <c r="C1301" s="48" t="n">
        <v>100</v>
      </c>
      <c r="D1301" s="49" t="inlineStr">
        <is>
          <t>Diseñador</t>
        </is>
      </c>
      <c r="E1301" s="50" t="n">
        <v>91</v>
      </c>
      <c r="F1301" s="51">
        <f>E1301*$B$5*(1+$B$6)</f>
        <v>118300</v>
      </c>
      <c r="G1301" s="51">
        <f>F1301*$B$7</f>
        <v>295750</v>
      </c>
      <c r="H1301" s="51">
        <f>G1301-F1301</f>
        <v>177450</v>
      </c>
      <c r="I1301" s="52">
        <f>H1301/G1301</f>
        <v>0.6</v>
      </c>
      <c r="J1301" s="53" t="n"/>
      <c r="K1301" s="54" t="n"/>
    </row>
    <row r="1302">
      <c r="A1302" s="39" t="inlineStr">
        <is>
          <t>Maison Margiela</t>
        </is>
      </c>
      <c r="B1302" s="47" t="inlineStr">
        <is>
          <t>MAISON MARGIELA REPLICA NEVER ENDING SUMMER EDT 100ML</t>
        </is>
      </c>
      <c r="C1302" s="48" t="n">
        <v>100</v>
      </c>
      <c r="D1302" s="49" t="inlineStr">
        <is>
          <t>Diseñador</t>
        </is>
      </c>
      <c r="E1302" s="50" t="n">
        <v>120</v>
      </c>
      <c r="F1302" s="51">
        <f>E1302*$B$5*(1+$B$6)</f>
        <v>156000</v>
      </c>
      <c r="G1302" s="51">
        <f>F1302*$B$7</f>
        <v>390000</v>
      </c>
      <c r="H1302" s="51">
        <f>G1302-F1302</f>
        <v>234000</v>
      </c>
      <c r="I1302" s="52">
        <f>H1302/G1302</f>
        <v>0.6</v>
      </c>
      <c r="J1302" s="53" t="n"/>
      <c r="K1302" s="54" t="n"/>
    </row>
    <row r="1303">
      <c r="A1303" s="39" t="inlineStr">
        <is>
          <t>Mancera Paris</t>
        </is>
      </c>
      <c r="B1303" s="47" t="inlineStr">
        <is>
          <t>MANCERA PARIS AMBER FEVER EDP U 120ML</t>
        </is>
      </c>
      <c r="C1303" s="48" t="n">
        <v>120</v>
      </c>
      <c r="D1303" s="49" t="inlineStr">
        <is>
          <t>Nicho</t>
        </is>
      </c>
      <c r="E1303" s="50" t="n">
        <v>70</v>
      </c>
      <c r="F1303" s="51">
        <f>E1303*$B$5*(1+$B$6)</f>
        <v>91000</v>
      </c>
      <c r="G1303" s="51">
        <f>F1303*$B$7</f>
        <v>227500</v>
      </c>
      <c r="H1303" s="51">
        <f>G1303-F1303</f>
        <v>136500</v>
      </c>
      <c r="I1303" s="52">
        <f>H1303/G1303</f>
        <v>0.6</v>
      </c>
      <c r="J1303" s="53" t="n"/>
      <c r="K1303" s="54" t="n"/>
    </row>
    <row r="1304">
      <c r="A1304" s="39" t="inlineStr">
        <is>
          <t>Mancera Paris</t>
        </is>
      </c>
      <c r="B1304" s="47" t="inlineStr">
        <is>
          <t>MANCERA PARIS COCO VANILLE EDP 120ML</t>
        </is>
      </c>
      <c r="C1304" s="48" t="n">
        <v>120</v>
      </c>
      <c r="D1304" s="49" t="inlineStr">
        <is>
          <t>Nicho</t>
        </is>
      </c>
      <c r="E1304" s="50" t="n">
        <v>88</v>
      </c>
      <c r="F1304" s="51">
        <f>E1304*$B$5*(1+$B$6)</f>
        <v>114400</v>
      </c>
      <c r="G1304" s="51">
        <f>F1304*$B$7</f>
        <v>286000</v>
      </c>
      <c r="H1304" s="51">
        <f>G1304-F1304</f>
        <v>171600</v>
      </c>
      <c r="I1304" s="52">
        <f>H1304/G1304</f>
        <v>0.6</v>
      </c>
      <c r="J1304" s="53" t="n"/>
      <c r="K1304" s="54" t="n"/>
    </row>
    <row r="1305">
      <c r="A1305" s="39" t="inlineStr">
        <is>
          <t>Mancera Paris</t>
        </is>
      </c>
      <c r="B1305" s="47" t="inlineStr">
        <is>
          <t>MANCERA PARIS INSTANT CRUSH EDP U 120ML</t>
        </is>
      </c>
      <c r="C1305" s="48" t="n">
        <v>120</v>
      </c>
      <c r="D1305" s="49" t="inlineStr">
        <is>
          <t>Nicho</t>
        </is>
      </c>
      <c r="E1305" s="50" t="n">
        <v>88</v>
      </c>
      <c r="F1305" s="51">
        <f>E1305*$B$5*(1+$B$6)</f>
        <v>114400</v>
      </c>
      <c r="G1305" s="51">
        <f>F1305*$B$7</f>
        <v>286000</v>
      </c>
      <c r="H1305" s="51">
        <f>G1305-F1305</f>
        <v>171600</v>
      </c>
      <c r="I1305" s="52">
        <f>H1305/G1305</f>
        <v>0.6</v>
      </c>
      <c r="J1305" s="53" t="n"/>
      <c r="K1305" s="54" t="n"/>
    </row>
    <row r="1306">
      <c r="A1306" s="39" t="inlineStr">
        <is>
          <t>Mancera Paris</t>
        </is>
      </c>
      <c r="B1306" s="47" t="inlineStr">
        <is>
          <t>MANCERA PARIS INTENSE INSTANT CRUSH EXTRAIT EDP 120ML</t>
        </is>
      </c>
      <c r="C1306" s="48" t="n">
        <v>120</v>
      </c>
      <c r="D1306" s="49" t="inlineStr">
        <is>
          <t>Nicho</t>
        </is>
      </c>
      <c r="E1306" s="50" t="n">
        <v>90</v>
      </c>
      <c r="F1306" s="51">
        <f>E1306*$B$5*(1+$B$6)</f>
        <v>117000</v>
      </c>
      <c r="G1306" s="51">
        <f>F1306*$B$7</f>
        <v>292500</v>
      </c>
      <c r="H1306" s="51">
        <f>G1306-F1306</f>
        <v>175500</v>
      </c>
      <c r="I1306" s="52">
        <f>H1306/G1306</f>
        <v>0.6</v>
      </c>
      <c r="J1306" s="53" t="n"/>
      <c r="K1306" s="54" t="n"/>
    </row>
    <row r="1307">
      <c r="A1307" s="39" t="inlineStr">
        <is>
          <t>Mancera Paris</t>
        </is>
      </c>
      <c r="B1307" s="47" t="inlineStr">
        <is>
          <t>MANCERA PARIS INTENSE RED TOBACCO EXTRAIT 120ML</t>
        </is>
      </c>
      <c r="C1307" s="48" t="n">
        <v>120</v>
      </c>
      <c r="D1307" s="49" t="inlineStr">
        <is>
          <t>Nicho</t>
        </is>
      </c>
      <c r="E1307" s="50" t="n">
        <v>96</v>
      </c>
      <c r="F1307" s="51">
        <f>E1307*$B$5*(1+$B$6)</f>
        <v>124800</v>
      </c>
      <c r="G1307" s="51">
        <f>F1307*$B$7</f>
        <v>312000</v>
      </c>
      <c r="H1307" s="51">
        <f>G1307-F1307</f>
        <v>187200</v>
      </c>
      <c r="I1307" s="52">
        <f>H1307/G1307</f>
        <v>0.6</v>
      </c>
      <c r="J1307" s="53" t="n"/>
      <c r="K1307" s="54" t="n"/>
    </row>
    <row r="1308">
      <c r="A1308" s="39" t="inlineStr">
        <is>
          <t>Mancera Paris</t>
        </is>
      </c>
      <c r="B1308" s="47" t="inlineStr">
        <is>
          <t>MANCERA PARIS JASMIN EXCLUSIF EDP 120ML UNISEX</t>
        </is>
      </c>
      <c r="C1308" s="48" t="n">
        <v>120</v>
      </c>
      <c r="D1308" s="49" t="inlineStr">
        <is>
          <t>Nicho</t>
        </is>
      </c>
      <c r="E1308" s="50" t="n">
        <v>85</v>
      </c>
      <c r="F1308" s="51">
        <f>E1308*$B$5*(1+$B$6)</f>
        <v>110500</v>
      </c>
      <c r="G1308" s="51">
        <f>F1308*$B$7</f>
        <v>276250</v>
      </c>
      <c r="H1308" s="51">
        <f>G1308-F1308</f>
        <v>165750</v>
      </c>
      <c r="I1308" s="52">
        <f>H1308/G1308</f>
        <v>0.6</v>
      </c>
      <c r="J1308" s="53" t="n"/>
      <c r="K1308" s="54" t="n"/>
    </row>
    <row r="1309">
      <c r="A1309" s="39" t="inlineStr">
        <is>
          <t>Mancera Paris</t>
        </is>
      </c>
      <c r="B1309" s="47" t="inlineStr">
        <is>
          <t>MANCERA PARIS RED TOBACCO 120ML</t>
        </is>
      </c>
      <c r="C1309" s="48" t="n">
        <v>120</v>
      </c>
      <c r="D1309" s="49" t="inlineStr">
        <is>
          <t>Nicho</t>
        </is>
      </c>
      <c r="E1309" s="50" t="n">
        <v>85</v>
      </c>
      <c r="F1309" s="51">
        <f>E1309*$B$5*(1+$B$6)</f>
        <v>110500</v>
      </c>
      <c r="G1309" s="51">
        <f>F1309*$B$7</f>
        <v>276250</v>
      </c>
      <c r="H1309" s="51">
        <f>G1309-F1309</f>
        <v>165750</v>
      </c>
      <c r="I1309" s="52">
        <f>H1309/G1309</f>
        <v>0.6</v>
      </c>
      <c r="J1309" s="53" t="n"/>
      <c r="K1309" s="54" t="n"/>
    </row>
    <row r="1310">
      <c r="A1310" s="39" t="inlineStr">
        <is>
          <t>Mancera Paris</t>
        </is>
      </c>
      <c r="B1310" s="47" t="inlineStr">
        <is>
          <t>MANCERA PARIS ROSES GREEDY EDP 120ML</t>
        </is>
      </c>
      <c r="C1310" s="48" t="n">
        <v>120</v>
      </c>
      <c r="D1310" s="49" t="inlineStr">
        <is>
          <t>Nicho</t>
        </is>
      </c>
      <c r="E1310" s="50" t="n">
        <v>85</v>
      </c>
      <c r="F1310" s="51">
        <f>E1310*$B$5*(1+$B$6)</f>
        <v>110500</v>
      </c>
      <c r="G1310" s="51">
        <f>F1310*$B$7</f>
        <v>276250</v>
      </c>
      <c r="H1310" s="51">
        <f>G1310-F1310</f>
        <v>165750</v>
      </c>
      <c r="I1310" s="52">
        <f>H1310/G1310</f>
        <v>0.6</v>
      </c>
      <c r="J1310" s="53" t="n"/>
      <c r="K1310" s="54" t="n"/>
    </row>
    <row r="1311">
      <c r="A1311" s="39" t="inlineStr">
        <is>
          <t>Mancera Paris</t>
        </is>
      </c>
      <c r="B1311" s="47" t="inlineStr">
        <is>
          <t>MANCERA PARIS ROSES VANILLE EDP 120ML</t>
        </is>
      </c>
      <c r="C1311" s="48" t="n">
        <v>120</v>
      </c>
      <c r="D1311" s="49" t="inlineStr">
        <is>
          <t>Nicho</t>
        </is>
      </c>
      <c r="E1311" s="50" t="n">
        <v>87</v>
      </c>
      <c r="F1311" s="51">
        <f>E1311*$B$5*(1+$B$6)</f>
        <v>113100</v>
      </c>
      <c r="G1311" s="51">
        <f>F1311*$B$7</f>
        <v>282750</v>
      </c>
      <c r="H1311" s="51">
        <f>G1311-F1311</f>
        <v>169650</v>
      </c>
      <c r="I1311" s="52">
        <f>H1311/G1311</f>
        <v>0.6</v>
      </c>
      <c r="J1311" s="53" t="n"/>
      <c r="K1311" s="54" t="n"/>
    </row>
    <row r="1312">
      <c r="A1312" s="39" t="inlineStr">
        <is>
          <t>Mancera Paris</t>
        </is>
      </c>
      <c r="B1312" s="47" t="inlineStr">
        <is>
          <t>MANCERA PARIS SOLEIL D'ITALIE EDP 120ML</t>
        </is>
      </c>
      <c r="C1312" s="48" t="n">
        <v>120</v>
      </c>
      <c r="D1312" s="49" t="inlineStr">
        <is>
          <t>Nicho</t>
        </is>
      </c>
      <c r="E1312" s="50" t="n">
        <v>85</v>
      </c>
      <c r="F1312" s="51">
        <f>E1312*$B$5*(1+$B$6)</f>
        <v>110500</v>
      </c>
      <c r="G1312" s="51">
        <f>F1312*$B$7</f>
        <v>276250</v>
      </c>
      <c r="H1312" s="51">
        <f>G1312-F1312</f>
        <v>165750</v>
      </c>
      <c r="I1312" s="52">
        <f>H1312/G1312</f>
        <v>0.6</v>
      </c>
      <c r="J1312" s="53" t="n"/>
      <c r="K1312" s="54" t="n"/>
    </row>
    <row r="1313">
      <c r="A1313" s="39" t="inlineStr">
        <is>
          <t>Marc Jacobs</t>
        </is>
      </c>
      <c r="B1313" s="47" t="inlineStr">
        <is>
          <t>MARC JACOBS DAISY DREAM EDT 100ML</t>
        </is>
      </c>
      <c r="C1313" s="48" t="n">
        <v>100</v>
      </c>
      <c r="D1313" s="49" t="inlineStr">
        <is>
          <t>Diseñador</t>
        </is>
      </c>
      <c r="E1313" s="50" t="n">
        <v>66.5</v>
      </c>
      <c r="F1313" s="51">
        <f>E1313*$B$5*(1+$B$6)</f>
        <v>86450</v>
      </c>
      <c r="G1313" s="51">
        <f>F1313*$B$7</f>
        <v>216125</v>
      </c>
      <c r="H1313" s="51">
        <f>G1313-F1313</f>
        <v>129675</v>
      </c>
      <c r="I1313" s="52">
        <f>H1313/G1313</f>
        <v>0.6</v>
      </c>
      <c r="J1313" s="53" t="n"/>
      <c r="K1313" s="54" t="n"/>
    </row>
    <row r="1314">
      <c r="A1314" s="39" t="inlineStr">
        <is>
          <t>Marc Jacobs</t>
        </is>
      </c>
      <c r="B1314" s="47" t="inlineStr">
        <is>
          <t>MARC JACOBS DAISY EDT 100ML FEM</t>
        </is>
      </c>
      <c r="C1314" s="48" t="n">
        <v>100</v>
      </c>
      <c r="D1314" s="49" t="inlineStr">
        <is>
          <t>Diseñador</t>
        </is>
      </c>
      <c r="E1314" s="50" t="n">
        <v>66.5</v>
      </c>
      <c r="F1314" s="51">
        <f>E1314*$B$5*(1+$B$6)</f>
        <v>86450</v>
      </c>
      <c r="G1314" s="51">
        <f>F1314*$B$7</f>
        <v>216125</v>
      </c>
      <c r="H1314" s="51">
        <f>G1314-F1314</f>
        <v>129675</v>
      </c>
      <c r="I1314" s="52">
        <f>H1314/G1314</f>
        <v>0.6</v>
      </c>
      <c r="J1314" s="53" t="n"/>
      <c r="K1314" s="54" t="n"/>
    </row>
    <row r="1315">
      <c r="A1315" s="39" t="inlineStr">
        <is>
          <t>Marc Jacobs</t>
        </is>
      </c>
      <c r="B1315" s="47" t="inlineStr">
        <is>
          <t>MARC JACOBS DAISY EVER SO FRESH EDP 125ML</t>
        </is>
      </c>
      <c r="C1315" s="48" t="n">
        <v>125</v>
      </c>
      <c r="D1315" s="49" t="inlineStr">
        <is>
          <t>Diseñador</t>
        </is>
      </c>
      <c r="E1315" s="50" t="n">
        <v>115</v>
      </c>
      <c r="F1315" s="51">
        <f>E1315*$B$5*(1+$B$6)</f>
        <v>149500</v>
      </c>
      <c r="G1315" s="51">
        <f>F1315*$B$7</f>
        <v>373750</v>
      </c>
      <c r="H1315" s="51">
        <f>G1315-F1315</f>
        <v>224250</v>
      </c>
      <c r="I1315" s="52">
        <f>H1315/G1315</f>
        <v>0.6</v>
      </c>
      <c r="J1315" s="53" t="n"/>
      <c r="K1315" s="54" t="n"/>
    </row>
    <row r="1316">
      <c r="A1316" s="39" t="inlineStr">
        <is>
          <t>Marc Jacobs</t>
        </is>
      </c>
      <c r="B1316" s="47" t="inlineStr">
        <is>
          <t>MARC JACOBS DAISY WILD EAU SO INTENSE EDP 100ML FEM</t>
        </is>
      </c>
      <c r="C1316" s="48" t="n">
        <v>100</v>
      </c>
      <c r="D1316" s="49" t="inlineStr">
        <is>
          <t>Diseñador</t>
        </is>
      </c>
      <c r="E1316" s="50" t="n">
        <v>105</v>
      </c>
      <c r="F1316" s="51">
        <f>E1316*$B$5*(1+$B$6)</f>
        <v>136500</v>
      </c>
      <c r="G1316" s="51">
        <f>F1316*$B$7</f>
        <v>341250</v>
      </c>
      <c r="H1316" s="51">
        <f>G1316-F1316</f>
        <v>204750</v>
      </c>
      <c r="I1316" s="52">
        <f>H1316/G1316</f>
        <v>0.6</v>
      </c>
      <c r="J1316" s="53" t="n"/>
      <c r="K1316" s="54" t="n"/>
    </row>
    <row r="1317">
      <c r="A1317" s="39" t="inlineStr">
        <is>
          <t>Marc Jacobs</t>
        </is>
      </c>
      <c r="B1317" s="47" t="inlineStr">
        <is>
          <t>MARC JACOBS DAISY WILD EDP 100ML FEM</t>
        </is>
      </c>
      <c r="C1317" s="48" t="n">
        <v>100</v>
      </c>
      <c r="D1317" s="49" t="inlineStr">
        <is>
          <t>Diseñador</t>
        </is>
      </c>
      <c r="E1317" s="50" t="n">
        <v>94</v>
      </c>
      <c r="F1317" s="51">
        <f>E1317*$B$5*(1+$B$6)</f>
        <v>122200</v>
      </c>
      <c r="G1317" s="51">
        <f>F1317*$B$7</f>
        <v>305500</v>
      </c>
      <c r="H1317" s="51">
        <f>G1317-F1317</f>
        <v>183300</v>
      </c>
      <c r="I1317" s="52">
        <f>H1317/G1317</f>
        <v>0.6</v>
      </c>
      <c r="J1317" s="53" t="n"/>
      <c r="K1317" s="54" t="n"/>
    </row>
    <row r="1318">
      <c r="A1318" s="39" t="inlineStr">
        <is>
          <t>Marc Jacobs</t>
        </is>
      </c>
      <c r="B1318" s="47" t="inlineStr">
        <is>
          <t>MARC JACOBS DECADENCE EAU SO DECADENT EDT 100ML</t>
        </is>
      </c>
      <c r="C1318" s="48" t="n">
        <v>100</v>
      </c>
      <c r="D1318" s="49" t="inlineStr">
        <is>
          <t>Diseñador</t>
        </is>
      </c>
      <c r="E1318" s="50" t="n">
        <v>72</v>
      </c>
      <c r="F1318" s="51">
        <f>E1318*$B$5*(1+$B$6)</f>
        <v>93600</v>
      </c>
      <c r="G1318" s="51">
        <f>F1318*$B$7</f>
        <v>234000</v>
      </c>
      <c r="H1318" s="51">
        <f>G1318-F1318</f>
        <v>140400</v>
      </c>
      <c r="I1318" s="52">
        <f>H1318/G1318</f>
        <v>0.6</v>
      </c>
      <c r="J1318" s="53" t="n"/>
      <c r="K1318" s="54" t="n"/>
    </row>
    <row r="1319">
      <c r="A1319" s="39" t="inlineStr">
        <is>
          <t>Marc Jacobs</t>
        </is>
      </c>
      <c r="B1319" s="47" t="inlineStr">
        <is>
          <t>MARC JACOBS DOT EDP 100ML</t>
        </is>
      </c>
      <c r="C1319" s="48" t="n">
        <v>100</v>
      </c>
      <c r="D1319" s="49" t="inlineStr">
        <is>
          <t>Diseñador</t>
        </is>
      </c>
      <c r="E1319" s="50" t="n">
        <v>35</v>
      </c>
      <c r="F1319" s="51">
        <f>E1319*$B$5*(1+$B$6)</f>
        <v>45500</v>
      </c>
      <c r="G1319" s="51">
        <f>F1319*$B$7</f>
        <v>113750</v>
      </c>
      <c r="H1319" s="51">
        <f>G1319-F1319</f>
        <v>68250</v>
      </c>
      <c r="I1319" s="52">
        <f>H1319/G1319</f>
        <v>0.6</v>
      </c>
      <c r="J1319" s="53" t="n"/>
      <c r="K1319" s="54" t="n"/>
    </row>
    <row r="1320">
      <c r="A1320" s="39" t="inlineStr">
        <is>
          <t>Marc Jacobs</t>
        </is>
      </c>
      <c r="B1320" s="47" t="inlineStr">
        <is>
          <t>MARC JACOBS HONEY EDP 100ML</t>
        </is>
      </c>
      <c r="C1320" s="48" t="n">
        <v>100</v>
      </c>
      <c r="D1320" s="49" t="inlineStr">
        <is>
          <t>Diseñador</t>
        </is>
      </c>
      <c r="E1320" s="50" t="n">
        <v>53</v>
      </c>
      <c r="F1320" s="51">
        <f>E1320*$B$5*(1+$B$6)</f>
        <v>68900</v>
      </c>
      <c r="G1320" s="51">
        <f>F1320*$B$7</f>
        <v>172250</v>
      </c>
      <c r="H1320" s="51">
        <f>G1320-F1320</f>
        <v>103350</v>
      </c>
      <c r="I1320" s="52">
        <f>H1320/G1320</f>
        <v>0.6</v>
      </c>
      <c r="J1320" s="53" t="n"/>
      <c r="K1320" s="54" t="n"/>
    </row>
    <row r="1321">
      <c r="A1321" s="39" t="inlineStr">
        <is>
          <t>Marc Jacobs</t>
        </is>
      </c>
      <c r="B1321" s="47" t="inlineStr">
        <is>
          <t>MARC JACOBS PERFECT EDP 100ML</t>
        </is>
      </c>
      <c r="C1321" s="48" t="n">
        <v>100</v>
      </c>
      <c r="D1321" s="49" t="inlineStr">
        <is>
          <t>Diseñador</t>
        </is>
      </c>
      <c r="E1321" s="50" t="n">
        <v>90</v>
      </c>
      <c r="F1321" s="51">
        <f>E1321*$B$5*(1+$B$6)</f>
        <v>117000</v>
      </c>
      <c r="G1321" s="51">
        <f>F1321*$B$7</f>
        <v>292500</v>
      </c>
      <c r="H1321" s="51">
        <f>G1321-F1321</f>
        <v>175500</v>
      </c>
      <c r="I1321" s="52">
        <f>H1321/G1321</f>
        <v>0.6</v>
      </c>
      <c r="J1321" s="53" t="n"/>
      <c r="K1321" s="54" t="n"/>
    </row>
    <row r="1322">
      <c r="A1322" s="39" t="inlineStr">
        <is>
          <t>Marc Jacobs</t>
        </is>
      </c>
      <c r="B1322" s="47" t="inlineStr">
        <is>
          <t>MARC JACOBS PERFECT EDT 100ML</t>
        </is>
      </c>
      <c r="C1322" s="48" t="n">
        <v>100</v>
      </c>
      <c r="D1322" s="49" t="inlineStr">
        <is>
          <t>Diseñador</t>
        </is>
      </c>
      <c r="E1322" s="50" t="n">
        <v>79</v>
      </c>
      <c r="F1322" s="51">
        <f>E1322*$B$5*(1+$B$6)</f>
        <v>102700</v>
      </c>
      <c r="G1322" s="51">
        <f>F1322*$B$7</f>
        <v>256750</v>
      </c>
      <c r="H1322" s="51">
        <f>G1322-F1322</f>
        <v>154050</v>
      </c>
      <c r="I1322" s="52">
        <f>H1322/G1322</f>
        <v>0.6</v>
      </c>
      <c r="J1322" s="53" t="n"/>
      <c r="K1322" s="54" t="n"/>
    </row>
    <row r="1323">
      <c r="A1323" s="39" t="inlineStr">
        <is>
          <t>Marc Jacobs</t>
        </is>
      </c>
      <c r="B1323" s="47" t="inlineStr">
        <is>
          <t>MARC JACOBS PERFECT ELIXIR EDP 100ML</t>
        </is>
      </c>
      <c r="C1323" s="48" t="n">
        <v>100</v>
      </c>
      <c r="D1323" s="49" t="inlineStr">
        <is>
          <t>Diseñador</t>
        </is>
      </c>
      <c r="E1323" s="50" t="n">
        <v>96</v>
      </c>
      <c r="F1323" s="51">
        <f>E1323*$B$5*(1+$B$6)</f>
        <v>124800</v>
      </c>
      <c r="G1323" s="51">
        <f>F1323*$B$7</f>
        <v>312000</v>
      </c>
      <c r="H1323" s="51">
        <f>G1323-F1323</f>
        <v>187200</v>
      </c>
      <c r="I1323" s="52">
        <f>H1323/G1323</f>
        <v>0.6</v>
      </c>
      <c r="J1323" s="53" t="n"/>
      <c r="K1323" s="54" t="n"/>
    </row>
    <row r="1324">
      <c r="A1324" s="39" t="inlineStr">
        <is>
          <t>Marc Jacobs</t>
        </is>
      </c>
      <c r="B1324" s="47" t="inlineStr">
        <is>
          <t>MARC JACOBS PERFECT INTENSE EDP 100ML FEMININO (779994)</t>
        </is>
      </c>
      <c r="C1324" s="48" t="n">
        <v>100</v>
      </c>
      <c r="D1324" s="49" t="inlineStr">
        <is>
          <t>Diseñador</t>
        </is>
      </c>
      <c r="E1324" s="50" t="n">
        <v>76</v>
      </c>
      <c r="F1324" s="51">
        <f>E1324*$B$5*(1+$B$6)</f>
        <v>98800</v>
      </c>
      <c r="G1324" s="51">
        <f>F1324*$B$7</f>
        <v>247000</v>
      </c>
      <c r="H1324" s="51">
        <f>G1324-F1324</f>
        <v>148200</v>
      </c>
      <c r="I1324" s="52">
        <f>H1324/G1324</f>
        <v>0.6</v>
      </c>
      <c r="J1324" s="53" t="n"/>
      <c r="K1324" s="54" t="n"/>
    </row>
    <row r="1325">
      <c r="A1325" s="39" t="inlineStr">
        <is>
          <t>Marc Jacobs</t>
        </is>
      </c>
      <c r="B1325" s="47" t="inlineStr">
        <is>
          <t>Perfect Absolute EDP (fem)</t>
        </is>
      </c>
      <c r="C1325" s="48" t="n">
        <v>100</v>
      </c>
      <c r="D1325" s="49" t="inlineStr">
        <is>
          <t>Diseñador</t>
        </is>
      </c>
      <c r="E1325" s="50" t="n">
        <v>100</v>
      </c>
      <c r="F1325" s="51">
        <f>E1325*$B$5*(1+$B$6)</f>
        <v>130000</v>
      </c>
      <c r="G1325" s="51">
        <f>F1325*$B$7</f>
        <v>325000</v>
      </c>
      <c r="H1325" s="51">
        <f>G1325-F1325</f>
        <v>195000</v>
      </c>
      <c r="I1325" s="52">
        <f>H1325/G1325</f>
        <v>0.6</v>
      </c>
      <c r="J1325" s="53" t="n"/>
      <c r="K1325" s="54" t="n"/>
    </row>
    <row r="1326">
      <c r="A1326" s="39" t="inlineStr">
        <is>
          <t>Marc-Antoine Barrois</t>
        </is>
      </c>
      <c r="B1326" s="47" t="inlineStr">
        <is>
          <t>MARC-ANTOINE BARROIS ALDEBARAN EDP 100ML UNISEX</t>
        </is>
      </c>
      <c r="C1326" s="48" t="n">
        <v>100</v>
      </c>
      <c r="D1326" s="49" t="inlineStr">
        <is>
          <t>Nicho</t>
        </is>
      </c>
      <c r="E1326" s="50" t="n">
        <v>290</v>
      </c>
      <c r="F1326" s="51">
        <f>E1326*$B$5*(1+$B$6)</f>
        <v>377000</v>
      </c>
      <c r="G1326" s="51">
        <f>F1326*$B$7</f>
        <v>942500</v>
      </c>
      <c r="H1326" s="51">
        <f>G1326-F1326</f>
        <v>565500</v>
      </c>
      <c r="I1326" s="52">
        <f>H1326/G1326</f>
        <v>0.6</v>
      </c>
      <c r="J1326" s="53" t="n"/>
      <c r="K1326" s="54" t="n"/>
    </row>
    <row r="1327">
      <c r="A1327" s="39" t="inlineStr">
        <is>
          <t>Marina De Bourbon</t>
        </is>
      </c>
      <c r="B1327" s="47" t="inlineStr">
        <is>
          <t>MARINA DE BOURBON CLASSIQUE EDP 100ML</t>
        </is>
      </c>
      <c r="C1327" s="48" t="n">
        <v>100</v>
      </c>
      <c r="D1327" s="49" t="inlineStr">
        <is>
          <t>Diseñador</t>
        </is>
      </c>
      <c r="E1327" s="50" t="n">
        <v>21.9</v>
      </c>
      <c r="F1327" s="51">
        <f>E1327*$B$5*(1+$B$6)</f>
        <v>28470</v>
      </c>
      <c r="G1327" s="51">
        <f>F1327*$B$7</f>
        <v>71175</v>
      </c>
      <c r="H1327" s="51">
        <f>G1327-F1327</f>
        <v>42705</v>
      </c>
      <c r="I1327" s="52">
        <f>H1327/G1327</f>
        <v>0.6</v>
      </c>
      <c r="J1327" s="53" t="n"/>
      <c r="K1327" s="54" t="n"/>
    </row>
    <row r="1328">
      <c r="A1328" s="39" t="inlineStr">
        <is>
          <t>Marquisa Dubai</t>
        </is>
      </c>
      <c r="B1328" s="47" t="inlineStr">
        <is>
          <t>MARQUISA DUBAI NO.1 EDP 100ML MEN</t>
        </is>
      </c>
      <c r="C1328" s="48" t="n">
        <v>100</v>
      </c>
      <c r="D1328" s="49" t="inlineStr">
        <is>
          <t>Árabe</t>
        </is>
      </c>
      <c r="E1328" s="50" t="n">
        <v>25</v>
      </c>
      <c r="F1328" s="51">
        <f>E1328*$B$5*(1+$B$6)</f>
        <v>32500</v>
      </c>
      <c r="G1328" s="51">
        <f>F1328*$B$7</f>
        <v>81250</v>
      </c>
      <c r="H1328" s="51">
        <f>G1328-F1328</f>
        <v>48750</v>
      </c>
      <c r="I1328" s="52">
        <f>H1328/G1328</f>
        <v>0.6</v>
      </c>
      <c r="J1328" s="53" t="n"/>
      <c r="K1328" s="54" t="inlineStr">
        <is>
          <t>clon/genérico</t>
        </is>
      </c>
    </row>
    <row r="1329">
      <c r="A1329" s="39" t="inlineStr">
        <is>
          <t>Marquisa Dubai</t>
        </is>
      </c>
      <c r="B1329" s="47" t="inlineStr">
        <is>
          <t>MARQUISA DUBAI NO.2 EDP 100ML MEN</t>
        </is>
      </c>
      <c r="C1329" s="48" t="n">
        <v>100</v>
      </c>
      <c r="D1329" s="49" t="inlineStr">
        <is>
          <t>Árabe</t>
        </is>
      </c>
      <c r="E1329" s="50" t="n">
        <v>25</v>
      </c>
      <c r="F1329" s="51">
        <f>E1329*$B$5*(1+$B$6)</f>
        <v>32500</v>
      </c>
      <c r="G1329" s="51">
        <f>F1329*$B$7</f>
        <v>81250</v>
      </c>
      <c r="H1329" s="51">
        <f>G1329-F1329</f>
        <v>48750</v>
      </c>
      <c r="I1329" s="52">
        <f>H1329/G1329</f>
        <v>0.6</v>
      </c>
      <c r="J1329" s="53" t="n"/>
      <c r="K1329" s="54" t="inlineStr">
        <is>
          <t>clon/genérico</t>
        </is>
      </c>
    </row>
    <row r="1330">
      <c r="A1330" s="39" t="inlineStr">
        <is>
          <t>Marquisa Dubai</t>
        </is>
      </c>
      <c r="B1330" s="47" t="inlineStr">
        <is>
          <t>MARQUISA DUBAI NO.3 EDP 100ML FEM</t>
        </is>
      </c>
      <c r="C1330" s="48" t="n">
        <v>100</v>
      </c>
      <c r="D1330" s="49" t="inlineStr">
        <is>
          <t>Árabe</t>
        </is>
      </c>
      <c r="E1330" s="50" t="n">
        <v>25</v>
      </c>
      <c r="F1330" s="51">
        <f>E1330*$B$5*(1+$B$6)</f>
        <v>32500</v>
      </c>
      <c r="G1330" s="51">
        <f>F1330*$B$7</f>
        <v>81250</v>
      </c>
      <c r="H1330" s="51">
        <f>G1330-F1330</f>
        <v>48750</v>
      </c>
      <c r="I1330" s="52">
        <f>H1330/G1330</f>
        <v>0.6</v>
      </c>
      <c r="J1330" s="53" t="n"/>
      <c r="K1330" s="54" t="inlineStr">
        <is>
          <t>clon/genérico</t>
        </is>
      </c>
    </row>
    <row r="1331">
      <c r="A1331" s="39" t="inlineStr">
        <is>
          <t>Marquisa Dubai</t>
        </is>
      </c>
      <c r="B1331" s="47" t="inlineStr">
        <is>
          <t>MARQUISA DUBAI NO.4 EDP 100ML FEM</t>
        </is>
      </c>
      <c r="C1331" s="48" t="n">
        <v>100</v>
      </c>
      <c r="D1331" s="49" t="inlineStr">
        <is>
          <t>Árabe</t>
        </is>
      </c>
      <c r="E1331" s="50" t="n">
        <v>25</v>
      </c>
      <c r="F1331" s="51">
        <f>E1331*$B$5*(1+$B$6)</f>
        <v>32500</v>
      </c>
      <c r="G1331" s="51">
        <f>F1331*$B$7</f>
        <v>81250</v>
      </c>
      <c r="H1331" s="51">
        <f>G1331-F1331</f>
        <v>48750</v>
      </c>
      <c r="I1331" s="52">
        <f>H1331/G1331</f>
        <v>0.6</v>
      </c>
      <c r="J1331" s="53" t="n"/>
      <c r="K1331" s="54" t="inlineStr">
        <is>
          <t>clon/genérico</t>
        </is>
      </c>
    </row>
    <row r="1332">
      <c r="A1332" s="39" t="inlineStr">
        <is>
          <t>Marquisa Dubai</t>
        </is>
      </c>
      <c r="B1332" s="47" t="inlineStr">
        <is>
          <t>TESTER MARQUISA DUBAI NO.1 EDP 100ML MEN</t>
        </is>
      </c>
      <c r="C1332" s="48" t="n">
        <v>100</v>
      </c>
      <c r="D1332" s="49" t="inlineStr">
        <is>
          <t>Tester</t>
        </is>
      </c>
      <c r="E1332" s="50" t="n">
        <v>20</v>
      </c>
      <c r="F1332" s="51">
        <f>E1332*$B$5*(1+$B$6)</f>
        <v>26000</v>
      </c>
      <c r="G1332" s="51">
        <f>F1332*$B$7</f>
        <v>65000</v>
      </c>
      <c r="H1332" s="51">
        <f>G1332-F1332</f>
        <v>39000</v>
      </c>
      <c r="I1332" s="52">
        <f>H1332/G1332</f>
        <v>0.6</v>
      </c>
      <c r="J1332" s="53" t="n"/>
      <c r="K1332" s="54" t="inlineStr">
        <is>
          <t>clon/genérico</t>
        </is>
      </c>
    </row>
    <row r="1333">
      <c r="A1333" s="39" t="inlineStr">
        <is>
          <t>Marquisa Dubai</t>
        </is>
      </c>
      <c r="B1333" s="47" t="inlineStr">
        <is>
          <t>TESTER MARQUISA DUBAI NO.2 EDP 100ML MEN</t>
        </is>
      </c>
      <c r="C1333" s="48" t="n">
        <v>100</v>
      </c>
      <c r="D1333" s="49" t="inlineStr">
        <is>
          <t>Tester</t>
        </is>
      </c>
      <c r="E1333" s="50" t="n">
        <v>20</v>
      </c>
      <c r="F1333" s="51">
        <f>E1333*$B$5*(1+$B$6)</f>
        <v>26000</v>
      </c>
      <c r="G1333" s="51">
        <f>F1333*$B$7</f>
        <v>65000</v>
      </c>
      <c r="H1333" s="51">
        <f>G1333-F1333</f>
        <v>39000</v>
      </c>
      <c r="I1333" s="52">
        <f>H1333/G1333</f>
        <v>0.6</v>
      </c>
      <c r="J1333" s="53" t="n"/>
      <c r="K1333" s="54" t="inlineStr">
        <is>
          <t>clon/genérico</t>
        </is>
      </c>
    </row>
    <row r="1334">
      <c r="A1334" s="39" t="inlineStr">
        <is>
          <t>Marquisa Dubai</t>
        </is>
      </c>
      <c r="B1334" s="47" t="inlineStr">
        <is>
          <t>TESTER MARQUISA DUBAI NO.3 EDP 100ML FEM</t>
        </is>
      </c>
      <c r="C1334" s="48" t="n">
        <v>100</v>
      </c>
      <c r="D1334" s="49" t="inlineStr">
        <is>
          <t>Tester</t>
        </is>
      </c>
      <c r="E1334" s="50" t="n">
        <v>20</v>
      </c>
      <c r="F1334" s="51">
        <f>E1334*$B$5*(1+$B$6)</f>
        <v>26000</v>
      </c>
      <c r="G1334" s="51">
        <f>F1334*$B$7</f>
        <v>65000</v>
      </c>
      <c r="H1334" s="51">
        <f>G1334-F1334</f>
        <v>39000</v>
      </c>
      <c r="I1334" s="52">
        <f>H1334/G1334</f>
        <v>0.6</v>
      </c>
      <c r="J1334" s="53" t="n"/>
      <c r="K1334" s="54" t="inlineStr">
        <is>
          <t>clon/genérico</t>
        </is>
      </c>
    </row>
    <row r="1335">
      <c r="A1335" s="39" t="inlineStr">
        <is>
          <t>Marquisa Dubai</t>
        </is>
      </c>
      <c r="B1335" s="47" t="inlineStr">
        <is>
          <t>TESTER MARQUISA DUBAI NO.4 EDP 100ML FEM</t>
        </is>
      </c>
      <c r="C1335" s="48" t="n">
        <v>100</v>
      </c>
      <c r="D1335" s="49" t="inlineStr">
        <is>
          <t>Tester</t>
        </is>
      </c>
      <c r="E1335" s="50" t="n">
        <v>20</v>
      </c>
      <c r="F1335" s="51">
        <f>E1335*$B$5*(1+$B$6)</f>
        <v>26000</v>
      </c>
      <c r="G1335" s="51">
        <f>F1335*$B$7</f>
        <v>65000</v>
      </c>
      <c r="H1335" s="51">
        <f>G1335-F1335</f>
        <v>39000</v>
      </c>
      <c r="I1335" s="52">
        <f>H1335/G1335</f>
        <v>0.6</v>
      </c>
      <c r="J1335" s="53" t="n"/>
      <c r="K1335" s="54" t="inlineStr">
        <is>
          <t>clon/genérico</t>
        </is>
      </c>
    </row>
    <row r="1336">
      <c r="A1336" s="39" t="inlineStr">
        <is>
          <t>Mawwal</t>
        </is>
      </c>
      <c r="B1336" s="47" t="inlineStr">
        <is>
          <t>MAWWAL ENERGY ZUHOOR 100ML</t>
        </is>
      </c>
      <c r="C1336" s="48" t="n">
        <v>100</v>
      </c>
      <c r="D1336" s="49" t="inlineStr">
        <is>
          <t>Árabe</t>
        </is>
      </c>
      <c r="E1336" s="50" t="n">
        <v>15</v>
      </c>
      <c r="F1336" s="51">
        <f>E1336*$B$5*(1+$B$6)</f>
        <v>19500</v>
      </c>
      <c r="G1336" s="51">
        <f>F1336*$B$7</f>
        <v>48750</v>
      </c>
      <c r="H1336" s="51">
        <f>G1336-F1336</f>
        <v>29250</v>
      </c>
      <c r="I1336" s="52">
        <f>H1336/G1336</f>
        <v>0.6</v>
      </c>
      <c r="J1336" s="53" t="n"/>
      <c r="K1336" s="54" t="inlineStr">
        <is>
          <t>clon/genérico</t>
        </is>
      </c>
    </row>
    <row r="1337">
      <c r="A1337" s="39" t="inlineStr">
        <is>
          <t>Mawwal</t>
        </is>
      </c>
      <c r="B1337" s="47" t="inlineStr">
        <is>
          <t>MAWWAL FANTASY MALEK 100ML</t>
        </is>
      </c>
      <c r="C1337" s="48" t="n">
        <v>100</v>
      </c>
      <c r="D1337" s="49" t="inlineStr">
        <is>
          <t>Árabe</t>
        </is>
      </c>
      <c r="E1337" s="50" t="n">
        <v>23</v>
      </c>
      <c r="F1337" s="51">
        <f>E1337*$B$5*(1+$B$6)</f>
        <v>29900</v>
      </c>
      <c r="G1337" s="51">
        <f>F1337*$B$7</f>
        <v>74750</v>
      </c>
      <c r="H1337" s="51">
        <f>G1337-F1337</f>
        <v>44850</v>
      </c>
      <c r="I1337" s="52">
        <f>H1337/G1337</f>
        <v>0.6</v>
      </c>
      <c r="J1337" s="53" t="n"/>
      <c r="K1337" s="54" t="inlineStr">
        <is>
          <t>clon/genérico</t>
        </is>
      </c>
    </row>
    <row r="1338">
      <c r="A1338" s="39" t="inlineStr">
        <is>
          <t>Mawwal</t>
        </is>
      </c>
      <c r="B1338" s="47" t="inlineStr">
        <is>
          <t>MAWWAL OASIS ATHAR 100ML</t>
        </is>
      </c>
      <c r="C1338" s="48" t="n">
        <v>100</v>
      </c>
      <c r="D1338" s="49" t="inlineStr">
        <is>
          <t>Árabe</t>
        </is>
      </c>
      <c r="E1338" s="50" t="n">
        <v>17</v>
      </c>
      <c r="F1338" s="51">
        <f>E1338*$B$5*(1+$B$6)</f>
        <v>22100</v>
      </c>
      <c r="G1338" s="51">
        <f>F1338*$B$7</f>
        <v>55250</v>
      </c>
      <c r="H1338" s="51">
        <f>G1338-F1338</f>
        <v>33150</v>
      </c>
      <c r="I1338" s="52">
        <f>H1338/G1338</f>
        <v>0.6</v>
      </c>
      <c r="J1338" s="53" t="n"/>
      <c r="K1338" s="54" t="inlineStr">
        <is>
          <t>clon/genérico</t>
        </is>
      </c>
    </row>
    <row r="1339">
      <c r="A1339" s="39" t="inlineStr">
        <is>
          <t>Mawwal</t>
        </is>
      </c>
      <c r="B1339" s="47" t="inlineStr">
        <is>
          <t>MAWWAL POISON HIYAM 100ML</t>
        </is>
      </c>
      <c r="C1339" s="48" t="n">
        <v>100</v>
      </c>
      <c r="D1339" s="49" t="inlineStr">
        <is>
          <t>Árabe</t>
        </is>
      </c>
      <c r="E1339" s="50" t="n">
        <v>20</v>
      </c>
      <c r="F1339" s="51">
        <f>E1339*$B$5*(1+$B$6)</f>
        <v>26000</v>
      </c>
      <c r="G1339" s="51">
        <f>F1339*$B$7</f>
        <v>65000</v>
      </c>
      <c r="H1339" s="51">
        <f>G1339-F1339</f>
        <v>39000</v>
      </c>
      <c r="I1339" s="52">
        <f>H1339/G1339</f>
        <v>0.6</v>
      </c>
      <c r="J1339" s="53" t="n"/>
      <c r="K1339" s="54" t="inlineStr">
        <is>
          <t>clon/genérico</t>
        </is>
      </c>
    </row>
    <row r="1340">
      <c r="A1340" s="39" t="inlineStr">
        <is>
          <t>Mawwal</t>
        </is>
      </c>
      <c r="B1340" s="47" t="inlineStr">
        <is>
          <t>MAWWAL SYMPHONY SITAR 100ML</t>
        </is>
      </c>
      <c r="C1340" s="48" t="n">
        <v>100</v>
      </c>
      <c r="D1340" s="49" t="inlineStr">
        <is>
          <t>Árabe</t>
        </is>
      </c>
      <c r="E1340" s="50" t="n">
        <v>21</v>
      </c>
      <c r="F1340" s="51">
        <f>E1340*$B$5*(1+$B$6)</f>
        <v>27300</v>
      </c>
      <c r="G1340" s="51">
        <f>F1340*$B$7</f>
        <v>68250</v>
      </c>
      <c r="H1340" s="51">
        <f>G1340-F1340</f>
        <v>40950</v>
      </c>
      <c r="I1340" s="52">
        <f>H1340/G1340</f>
        <v>0.6</v>
      </c>
      <c r="J1340" s="53" t="n"/>
      <c r="K1340" s="54" t="inlineStr">
        <is>
          <t>clon/genérico</t>
        </is>
      </c>
    </row>
    <row r="1341">
      <c r="A1341" s="39" t="inlineStr">
        <is>
          <t>Mawwal</t>
        </is>
      </c>
      <c r="B1341" s="47" t="inlineStr">
        <is>
          <t>MAWWAL UNIVERSE SAMA 100ML</t>
        </is>
      </c>
      <c r="C1341" s="48" t="n">
        <v>100</v>
      </c>
      <c r="D1341" s="49" t="inlineStr">
        <is>
          <t>Árabe</t>
        </is>
      </c>
      <c r="E1341" s="50" t="n">
        <v>23</v>
      </c>
      <c r="F1341" s="51">
        <f>E1341*$B$5*(1+$B$6)</f>
        <v>29900</v>
      </c>
      <c r="G1341" s="51">
        <f>F1341*$B$7</f>
        <v>74750</v>
      </c>
      <c r="H1341" s="51">
        <f>G1341-F1341</f>
        <v>44850</v>
      </c>
      <c r="I1341" s="52">
        <f>H1341/G1341</f>
        <v>0.6</v>
      </c>
      <c r="J1341" s="53" t="n"/>
      <c r="K1341" s="54" t="inlineStr">
        <is>
          <t>clon/genérico</t>
        </is>
      </c>
    </row>
    <row r="1342">
      <c r="A1342" s="39" t="inlineStr">
        <is>
          <t>Michael Kors</t>
        </is>
      </c>
      <c r="B1342" s="47" t="inlineStr">
        <is>
          <t>MICHAEL KORS GORGEOUS EDP 100ML</t>
        </is>
      </c>
      <c r="C1342" s="48" t="n">
        <v>100</v>
      </c>
      <c r="D1342" s="49" t="inlineStr">
        <is>
          <t>Diseñador</t>
        </is>
      </c>
      <c r="E1342" s="50" t="n">
        <v>44</v>
      </c>
      <c r="F1342" s="51">
        <f>E1342*$B$5*(1+$B$6)</f>
        <v>57200</v>
      </c>
      <c r="G1342" s="51">
        <f>F1342*$B$7</f>
        <v>143000</v>
      </c>
      <c r="H1342" s="51">
        <f>G1342-F1342</f>
        <v>85800</v>
      </c>
      <c r="I1342" s="52">
        <f>H1342/G1342</f>
        <v>0.6</v>
      </c>
      <c r="J1342" s="53" t="n"/>
      <c r="K1342" s="54" t="n"/>
    </row>
    <row r="1343">
      <c r="A1343" s="39" t="inlineStr">
        <is>
          <t>Michael Kors</t>
        </is>
      </c>
      <c r="B1343" s="47" t="inlineStr">
        <is>
          <t>MICHAEL KORS SEXY AMBER EDP 100ML FEM</t>
        </is>
      </c>
      <c r="C1343" s="48" t="n">
        <v>100</v>
      </c>
      <c r="D1343" s="49" t="inlineStr">
        <is>
          <t>Diseñador</t>
        </is>
      </c>
      <c r="E1343" s="50" t="n">
        <v>44</v>
      </c>
      <c r="F1343" s="51">
        <f>E1343*$B$5*(1+$B$6)</f>
        <v>57200</v>
      </c>
      <c r="G1343" s="51">
        <f>F1343*$B$7</f>
        <v>143000</v>
      </c>
      <c r="H1343" s="51">
        <f>G1343-F1343</f>
        <v>85800</v>
      </c>
      <c r="I1343" s="52">
        <f>H1343/G1343</f>
        <v>0.6</v>
      </c>
      <c r="J1343" s="53" t="n"/>
      <c r="K1343" s="54" t="n"/>
    </row>
    <row r="1344">
      <c r="A1344" s="39" t="inlineStr">
        <is>
          <t>Mini Brand Collection</t>
        </is>
      </c>
      <c r="B1344" s="47" t="inlineStr">
        <is>
          <t>MINI BRAND COLLECTION NO.262 EDP 25ML</t>
        </is>
      </c>
      <c r="C1344" s="48" t="n">
        <v>25</v>
      </c>
      <c r="D1344" s="49" t="inlineStr">
        <is>
          <t>Árabe</t>
        </is>
      </c>
      <c r="E1344" s="50" t="n">
        <v>5</v>
      </c>
      <c r="F1344" s="51">
        <f>E1344*$B$5*(1+$B$6)</f>
        <v>6500</v>
      </c>
      <c r="G1344" s="51">
        <f>F1344*$B$7</f>
        <v>16250</v>
      </c>
      <c r="H1344" s="51">
        <f>G1344-F1344</f>
        <v>9750</v>
      </c>
      <c r="I1344" s="52">
        <f>H1344/G1344</f>
        <v>0.6</v>
      </c>
      <c r="J1344" s="53" t="n"/>
      <c r="K1344" s="54" t="inlineStr">
        <is>
          <t>clon/genérico</t>
        </is>
      </c>
    </row>
    <row r="1345">
      <c r="A1345" s="39" t="inlineStr">
        <is>
          <t>Mini Brand Collection</t>
        </is>
      </c>
      <c r="B1345" s="47" t="inlineStr">
        <is>
          <t>MINI BRAND COLLECTION NO.266 EDP 25ML</t>
        </is>
      </c>
      <c r="C1345" s="48" t="n">
        <v>25</v>
      </c>
      <c r="D1345" s="49" t="inlineStr">
        <is>
          <t>Árabe</t>
        </is>
      </c>
      <c r="E1345" s="50" t="n">
        <v>5</v>
      </c>
      <c r="F1345" s="51">
        <f>E1345*$B$5*(1+$B$6)</f>
        <v>6500</v>
      </c>
      <c r="G1345" s="51">
        <f>F1345*$B$7</f>
        <v>16250</v>
      </c>
      <c r="H1345" s="51">
        <f>G1345-F1345</f>
        <v>9750</v>
      </c>
      <c r="I1345" s="52">
        <f>H1345/G1345</f>
        <v>0.6</v>
      </c>
      <c r="J1345" s="53" t="n"/>
      <c r="K1345" s="54" t="inlineStr">
        <is>
          <t>clon/genérico</t>
        </is>
      </c>
    </row>
    <row r="1346">
      <c r="A1346" s="39" t="inlineStr">
        <is>
          <t>Mini Brand Collection</t>
        </is>
      </c>
      <c r="B1346" s="47" t="inlineStr">
        <is>
          <t>MINI BRAND COLLECTION NO.268 EDP 25ML</t>
        </is>
      </c>
      <c r="C1346" s="48" t="n">
        <v>25</v>
      </c>
      <c r="D1346" s="49" t="inlineStr">
        <is>
          <t>Árabe</t>
        </is>
      </c>
      <c r="E1346" s="50" t="n">
        <v>5</v>
      </c>
      <c r="F1346" s="51">
        <f>E1346*$B$5*(1+$B$6)</f>
        <v>6500</v>
      </c>
      <c r="G1346" s="51">
        <f>F1346*$B$7</f>
        <v>16250</v>
      </c>
      <c r="H1346" s="51">
        <f>G1346-F1346</f>
        <v>9750</v>
      </c>
      <c r="I1346" s="52">
        <f>H1346/G1346</f>
        <v>0.6</v>
      </c>
      <c r="J1346" s="53" t="n"/>
      <c r="K1346" s="54" t="inlineStr">
        <is>
          <t>clon/genérico</t>
        </is>
      </c>
    </row>
    <row r="1347">
      <c r="A1347" s="39" t="inlineStr">
        <is>
          <t>Mini Brand Collection</t>
        </is>
      </c>
      <c r="B1347" s="47" t="inlineStr">
        <is>
          <t>MINI BRAND COLLECTION NO.269 EDP 25ML</t>
        </is>
      </c>
      <c r="C1347" s="48" t="n">
        <v>25</v>
      </c>
      <c r="D1347" s="49" t="inlineStr">
        <is>
          <t>Árabe</t>
        </is>
      </c>
      <c r="E1347" s="50" t="n">
        <v>5</v>
      </c>
      <c r="F1347" s="51">
        <f>E1347*$B$5*(1+$B$6)</f>
        <v>6500</v>
      </c>
      <c r="G1347" s="51">
        <f>F1347*$B$7</f>
        <v>16250</v>
      </c>
      <c r="H1347" s="51">
        <f>G1347-F1347</f>
        <v>9750</v>
      </c>
      <c r="I1347" s="52">
        <f>H1347/G1347</f>
        <v>0.6</v>
      </c>
      <c r="J1347" s="53" t="n"/>
      <c r="K1347" s="54" t="inlineStr">
        <is>
          <t>clon/genérico</t>
        </is>
      </c>
    </row>
    <row r="1348">
      <c r="A1348" s="39" t="inlineStr">
        <is>
          <t>Mini Brand Collection</t>
        </is>
      </c>
      <c r="B1348" s="47" t="inlineStr">
        <is>
          <t>MINI BRAND COLLECTION NO.274 EDP 25ML / YSL LIBRE</t>
        </is>
      </c>
      <c r="C1348" s="48" t="n">
        <v>25</v>
      </c>
      <c r="D1348" s="49" t="inlineStr">
        <is>
          <t>Árabe</t>
        </is>
      </c>
      <c r="E1348" s="50" t="n">
        <v>4</v>
      </c>
      <c r="F1348" s="51">
        <f>E1348*$B$5*(1+$B$6)</f>
        <v>5200</v>
      </c>
      <c r="G1348" s="51">
        <f>F1348*$B$7</f>
        <v>13000</v>
      </c>
      <c r="H1348" s="51">
        <f>G1348-F1348</f>
        <v>7800</v>
      </c>
      <c r="I1348" s="52">
        <f>H1348/G1348</f>
        <v>0.6</v>
      </c>
      <c r="J1348" s="53" t="n"/>
      <c r="K1348" s="54" t="inlineStr">
        <is>
          <t>clon/genérico</t>
        </is>
      </c>
    </row>
    <row r="1349">
      <c r="A1349" s="39" t="inlineStr">
        <is>
          <t>Mini Brand Collection</t>
        </is>
      </c>
      <c r="B1349" s="47" t="inlineStr">
        <is>
          <t>MINI BRAND COLLECTION NO.275 EDP 25ML / LV IMAGINATION</t>
        </is>
      </c>
      <c r="C1349" s="48" t="n">
        <v>25</v>
      </c>
      <c r="D1349" s="49" t="inlineStr">
        <is>
          <t>Árabe</t>
        </is>
      </c>
      <c r="E1349" s="50" t="n">
        <v>4</v>
      </c>
      <c r="F1349" s="51">
        <f>E1349*$B$5*(1+$B$6)</f>
        <v>5200</v>
      </c>
      <c r="G1349" s="51">
        <f>F1349*$B$7</f>
        <v>13000</v>
      </c>
      <c r="H1349" s="51">
        <f>G1349-F1349</f>
        <v>7800</v>
      </c>
      <c r="I1349" s="52">
        <f>H1349/G1349</f>
        <v>0.6</v>
      </c>
      <c r="J1349" s="53" t="n"/>
      <c r="K1349" s="54" t="inlineStr">
        <is>
          <t>clon/genérico</t>
        </is>
      </c>
    </row>
    <row r="1350">
      <c r="A1350" s="39" t="inlineStr">
        <is>
          <t>Mini Brand Collection</t>
        </is>
      </c>
      <c r="B1350" s="47" t="inlineStr">
        <is>
          <t>MINI BRAND COLLECTION NO.277 EDP 25ML / PACO RABANNE BLACK XS</t>
        </is>
      </c>
      <c r="C1350" s="48" t="n">
        <v>25</v>
      </c>
      <c r="D1350" s="49" t="inlineStr">
        <is>
          <t>Árabe</t>
        </is>
      </c>
      <c r="E1350" s="50" t="n">
        <v>4</v>
      </c>
      <c r="F1350" s="51">
        <f>E1350*$B$5*(1+$B$6)</f>
        <v>5200</v>
      </c>
      <c r="G1350" s="51">
        <f>F1350*$B$7</f>
        <v>13000</v>
      </c>
      <c r="H1350" s="51">
        <f>G1350-F1350</f>
        <v>7800</v>
      </c>
      <c r="I1350" s="52">
        <f>H1350/G1350</f>
        <v>0.6</v>
      </c>
      <c r="J1350" s="53" t="n"/>
      <c r="K1350" s="54" t="inlineStr">
        <is>
          <t>clon/genérico</t>
        </is>
      </c>
    </row>
    <row r="1351">
      <c r="A1351" s="39" t="inlineStr">
        <is>
          <t>Mini Brand Collection</t>
        </is>
      </c>
      <c r="B1351" s="47" t="inlineStr">
        <is>
          <t>MINI BRAND COLLECTION NO.278 EDP 25ML / ERBA PURA MAGICA</t>
        </is>
      </c>
      <c r="C1351" s="48" t="n">
        <v>25</v>
      </c>
      <c r="D1351" s="49" t="inlineStr">
        <is>
          <t>Árabe</t>
        </is>
      </c>
      <c r="E1351" s="50" t="n">
        <v>4</v>
      </c>
      <c r="F1351" s="51">
        <f>E1351*$B$5*(1+$B$6)</f>
        <v>5200</v>
      </c>
      <c r="G1351" s="51">
        <f>F1351*$B$7</f>
        <v>13000</v>
      </c>
      <c r="H1351" s="51">
        <f>G1351-F1351</f>
        <v>7800</v>
      </c>
      <c r="I1351" s="52">
        <f>H1351/G1351</f>
        <v>0.6</v>
      </c>
      <c r="J1351" s="53" t="n"/>
      <c r="K1351" s="54" t="inlineStr">
        <is>
          <t>clon/genérico</t>
        </is>
      </c>
    </row>
    <row r="1352">
      <c r="A1352" s="39" t="inlineStr">
        <is>
          <t>Mini Brand Collection</t>
        </is>
      </c>
      <c r="B1352" s="47" t="inlineStr">
        <is>
          <t>MINI BRAND COLLECTION NO.279 EDP 25ML / D&amp;G DOLCE LIGHT BLUE HOMME</t>
        </is>
      </c>
      <c r="C1352" s="48" t="n">
        <v>25</v>
      </c>
      <c r="D1352" s="49" t="inlineStr">
        <is>
          <t>Árabe</t>
        </is>
      </c>
      <c r="E1352" s="50" t="n">
        <v>4</v>
      </c>
      <c r="F1352" s="51">
        <f>E1352*$B$5*(1+$B$6)</f>
        <v>5200</v>
      </c>
      <c r="G1352" s="51">
        <f>F1352*$B$7</f>
        <v>13000</v>
      </c>
      <c r="H1352" s="51">
        <f>G1352-F1352</f>
        <v>7800</v>
      </c>
      <c r="I1352" s="52">
        <f>H1352/G1352</f>
        <v>0.6</v>
      </c>
      <c r="J1352" s="53" t="n"/>
      <c r="K1352" s="54" t="inlineStr">
        <is>
          <t>clon/genérico</t>
        </is>
      </c>
    </row>
    <row r="1353">
      <c r="A1353" s="39" t="inlineStr">
        <is>
          <t>Mini Brand Collection</t>
        </is>
      </c>
      <c r="B1353" s="47" t="inlineStr">
        <is>
          <t>MINI BRAND COLLECTION NO.280 EDP 25ML / DIOR JOY BY DIOR</t>
        </is>
      </c>
      <c r="C1353" s="48" t="n">
        <v>25</v>
      </c>
      <c r="D1353" s="49" t="inlineStr">
        <is>
          <t>Árabe</t>
        </is>
      </c>
      <c r="E1353" s="50" t="n">
        <v>4</v>
      </c>
      <c r="F1353" s="51">
        <f>E1353*$B$5*(1+$B$6)</f>
        <v>5200</v>
      </c>
      <c r="G1353" s="51">
        <f>F1353*$B$7</f>
        <v>13000</v>
      </c>
      <c r="H1353" s="51">
        <f>G1353-F1353</f>
        <v>7800</v>
      </c>
      <c r="I1353" s="52">
        <f>H1353/G1353</f>
        <v>0.6</v>
      </c>
      <c r="J1353" s="53" t="n"/>
      <c r="K1353" s="54" t="inlineStr">
        <is>
          <t>clon/genérico</t>
        </is>
      </c>
    </row>
    <row r="1354">
      <c r="A1354" s="39" t="inlineStr">
        <is>
          <t>Mini Brand Collection</t>
        </is>
      </c>
      <c r="B1354" s="47" t="inlineStr">
        <is>
          <t>MINI BRAND COLLECTION NO.285 EDP 25ML / LACOSTE L.12.12. WHITE</t>
        </is>
      </c>
      <c r="C1354" s="48" t="n">
        <v>25</v>
      </c>
      <c r="D1354" s="49" t="inlineStr">
        <is>
          <t>Árabe</t>
        </is>
      </c>
      <c r="E1354" s="50" t="n">
        <v>4</v>
      </c>
      <c r="F1354" s="51">
        <f>E1354*$B$5*(1+$B$6)</f>
        <v>5200</v>
      </c>
      <c r="G1354" s="51">
        <f>F1354*$B$7</f>
        <v>13000</v>
      </c>
      <c r="H1354" s="51">
        <f>G1354-F1354</f>
        <v>7800</v>
      </c>
      <c r="I1354" s="52">
        <f>H1354/G1354</f>
        <v>0.6</v>
      </c>
      <c r="J1354" s="53" t="n"/>
      <c r="K1354" s="54" t="inlineStr">
        <is>
          <t>clon/genérico</t>
        </is>
      </c>
    </row>
    <row r="1355">
      <c r="A1355" s="39" t="inlineStr">
        <is>
          <t>Mini Brand Collection</t>
        </is>
      </c>
      <c r="B1355" s="47" t="inlineStr">
        <is>
          <t>MINI BRAND COLLECTION NO.286 EDP 25ML / YSL MANIFESTO L'ELIXIR</t>
        </is>
      </c>
      <c r="C1355" s="48" t="n">
        <v>25</v>
      </c>
      <c r="D1355" s="49" t="inlineStr">
        <is>
          <t>Árabe</t>
        </is>
      </c>
      <c r="E1355" s="50" t="n">
        <v>4</v>
      </c>
      <c r="F1355" s="51">
        <f>E1355*$B$5*(1+$B$6)</f>
        <v>5200</v>
      </c>
      <c r="G1355" s="51">
        <f>F1355*$B$7</f>
        <v>13000</v>
      </c>
      <c r="H1355" s="51">
        <f>G1355-F1355</f>
        <v>7800</v>
      </c>
      <c r="I1355" s="52">
        <f>H1355/G1355</f>
        <v>0.6</v>
      </c>
      <c r="J1355" s="53" t="n"/>
      <c r="K1355" s="54" t="inlineStr">
        <is>
          <t>clon/genérico</t>
        </is>
      </c>
    </row>
    <row r="1356">
      <c r="A1356" s="39" t="inlineStr">
        <is>
          <t>Mini Brand Collection</t>
        </is>
      </c>
      <c r="B1356" s="47" t="inlineStr">
        <is>
          <t>MINI BRAND COLLECTION NO.288 EDP 25ML / TOBACCO VANILLE TOM FORD</t>
        </is>
      </c>
      <c r="C1356" s="48" t="n">
        <v>25</v>
      </c>
      <c r="D1356" s="49" t="inlineStr">
        <is>
          <t>Árabe</t>
        </is>
      </c>
      <c r="E1356" s="50" t="n">
        <v>4</v>
      </c>
      <c r="F1356" s="51">
        <f>E1356*$B$5*(1+$B$6)</f>
        <v>5200</v>
      </c>
      <c r="G1356" s="51">
        <f>F1356*$B$7</f>
        <v>13000</v>
      </c>
      <c r="H1356" s="51">
        <f>G1356-F1356</f>
        <v>7800</v>
      </c>
      <c r="I1356" s="52">
        <f>H1356/G1356</f>
        <v>0.6</v>
      </c>
      <c r="J1356" s="53" t="n"/>
      <c r="K1356" s="54" t="inlineStr">
        <is>
          <t>clon/genérico</t>
        </is>
      </c>
    </row>
    <row r="1357">
      <c r="A1357" s="39" t="inlineStr">
        <is>
          <t>Mini Brand Collection</t>
        </is>
      </c>
      <c r="B1357" s="47" t="inlineStr">
        <is>
          <t>MINI BRAND COLLECTION NO.299 EDP 25ML / STRONGER WITH YOU ARMANI</t>
        </is>
      </c>
      <c r="C1357" s="48" t="n">
        <v>25</v>
      </c>
      <c r="D1357" s="49" t="inlineStr">
        <is>
          <t>Árabe</t>
        </is>
      </c>
      <c r="E1357" s="50" t="n">
        <v>4</v>
      </c>
      <c r="F1357" s="51">
        <f>E1357*$B$5*(1+$B$6)</f>
        <v>5200</v>
      </c>
      <c r="G1357" s="51">
        <f>F1357*$B$7</f>
        <v>13000</v>
      </c>
      <c r="H1357" s="51">
        <f>G1357-F1357</f>
        <v>7800</v>
      </c>
      <c r="I1357" s="52">
        <f>H1357/G1357</f>
        <v>0.6</v>
      </c>
      <c r="J1357" s="53" t="n"/>
      <c r="K1357" s="54" t="inlineStr">
        <is>
          <t>clon/genérico</t>
        </is>
      </c>
    </row>
    <row r="1358">
      <c r="A1358" s="39" t="inlineStr">
        <is>
          <t>Mini Brand Collection</t>
        </is>
      </c>
      <c r="B1358" s="47" t="inlineStr">
        <is>
          <t>MINI BRAND COLLECTION NO.301 EDP 25ML / CHANEL CHANCE TENDRE</t>
        </is>
      </c>
      <c r="C1358" s="48" t="n">
        <v>25</v>
      </c>
      <c r="D1358" s="49" t="inlineStr">
        <is>
          <t>Árabe</t>
        </is>
      </c>
      <c r="E1358" s="50" t="n">
        <v>5</v>
      </c>
      <c r="F1358" s="51">
        <f>E1358*$B$5*(1+$B$6)</f>
        <v>6500</v>
      </c>
      <c r="G1358" s="51">
        <f>F1358*$B$7</f>
        <v>16250</v>
      </c>
      <c r="H1358" s="51">
        <f>G1358-F1358</f>
        <v>9750</v>
      </c>
      <c r="I1358" s="52">
        <f>H1358/G1358</f>
        <v>0.6</v>
      </c>
      <c r="J1358" s="53" t="n"/>
      <c r="K1358" s="54" t="inlineStr">
        <is>
          <t>clon/genérico</t>
        </is>
      </c>
    </row>
    <row r="1359">
      <c r="A1359" s="39" t="inlineStr">
        <is>
          <t>Mini Brand Collection</t>
        </is>
      </c>
      <c r="B1359" s="47" t="inlineStr">
        <is>
          <t>MINI BRAND COLLECTION NO.302 EDP 25ML / GUCCI BLOOM</t>
        </is>
      </c>
      <c r="C1359" s="48" t="n">
        <v>25</v>
      </c>
      <c r="D1359" s="49" t="inlineStr">
        <is>
          <t>Árabe</t>
        </is>
      </c>
      <c r="E1359" s="50" t="n">
        <v>4</v>
      </c>
      <c r="F1359" s="51">
        <f>E1359*$B$5*(1+$B$6)</f>
        <v>5200</v>
      </c>
      <c r="G1359" s="51">
        <f>F1359*$B$7</f>
        <v>13000</v>
      </c>
      <c r="H1359" s="51">
        <f>G1359-F1359</f>
        <v>7800</v>
      </c>
      <c r="I1359" s="52">
        <f>H1359/G1359</f>
        <v>0.6</v>
      </c>
      <c r="J1359" s="53" t="n"/>
      <c r="K1359" s="54" t="inlineStr">
        <is>
          <t>clon/genérico</t>
        </is>
      </c>
    </row>
    <row r="1360">
      <c r="A1360" s="39" t="inlineStr">
        <is>
          <t>Mini Brand Collection</t>
        </is>
      </c>
      <c r="B1360" s="47" t="inlineStr">
        <is>
          <t>MINI BRAND COLLECTION NO.303 EDP 25ML / CHANEL BLEU</t>
        </is>
      </c>
      <c r="C1360" s="48" t="n">
        <v>25</v>
      </c>
      <c r="D1360" s="49" t="inlineStr">
        <is>
          <t>Árabe</t>
        </is>
      </c>
      <c r="E1360" s="50" t="n">
        <v>4</v>
      </c>
      <c r="F1360" s="51">
        <f>E1360*$B$5*(1+$B$6)</f>
        <v>5200</v>
      </c>
      <c r="G1360" s="51">
        <f>F1360*$B$7</f>
        <v>13000</v>
      </c>
      <c r="H1360" s="51">
        <f>G1360-F1360</f>
        <v>7800</v>
      </c>
      <c r="I1360" s="52">
        <f>H1360/G1360</f>
        <v>0.6</v>
      </c>
      <c r="J1360" s="53" t="n"/>
      <c r="K1360" s="54" t="inlineStr">
        <is>
          <t>clon/genérico</t>
        </is>
      </c>
    </row>
    <row r="1361">
      <c r="A1361" s="39" t="inlineStr">
        <is>
          <t>Mini Brand Collection</t>
        </is>
      </c>
      <c r="B1361" s="47" t="inlineStr">
        <is>
          <t>MINI BRAND COLLECTION NO.304 EDP 25ML / HUGO BY HUGO BOSS</t>
        </is>
      </c>
      <c r="C1361" s="48" t="n">
        <v>25</v>
      </c>
      <c r="D1361" s="49" t="inlineStr">
        <is>
          <t>Árabe</t>
        </is>
      </c>
      <c r="E1361" s="50" t="n">
        <v>4</v>
      </c>
      <c r="F1361" s="51">
        <f>E1361*$B$5*(1+$B$6)</f>
        <v>5200</v>
      </c>
      <c r="G1361" s="51">
        <f>F1361*$B$7</f>
        <v>13000</v>
      </c>
      <c r="H1361" s="51">
        <f>G1361-F1361</f>
        <v>7800</v>
      </c>
      <c r="I1361" s="52">
        <f>H1361/G1361</f>
        <v>0.6</v>
      </c>
      <c r="J1361" s="53" t="n"/>
      <c r="K1361" s="54" t="inlineStr">
        <is>
          <t>clon/genérico</t>
        </is>
      </c>
    </row>
    <row r="1362">
      <c r="A1362" s="39" t="inlineStr">
        <is>
          <t>Mini Brand Collection</t>
        </is>
      </c>
      <c r="B1362" s="47" t="inlineStr">
        <is>
          <t>MINI BRAND COLLECTION NO.305 EDP 25ML / MY WAY ARMANI</t>
        </is>
      </c>
      <c r="C1362" s="48" t="n">
        <v>25</v>
      </c>
      <c r="D1362" s="49" t="inlineStr">
        <is>
          <t>Árabe</t>
        </is>
      </c>
      <c r="E1362" s="50" t="n">
        <v>4</v>
      </c>
      <c r="F1362" s="51">
        <f>E1362*$B$5*(1+$B$6)</f>
        <v>5200</v>
      </c>
      <c r="G1362" s="51">
        <f>F1362*$B$7</f>
        <v>13000</v>
      </c>
      <c r="H1362" s="51">
        <f>G1362-F1362</f>
        <v>7800</v>
      </c>
      <c r="I1362" s="52">
        <f>H1362/G1362</f>
        <v>0.6</v>
      </c>
      <c r="J1362" s="53" t="n"/>
      <c r="K1362" s="54" t="inlineStr">
        <is>
          <t>clon/genérico</t>
        </is>
      </c>
    </row>
    <row r="1363">
      <c r="A1363" s="39" t="inlineStr">
        <is>
          <t>Mini Brand Collection</t>
        </is>
      </c>
      <c r="B1363" s="47" t="inlineStr">
        <is>
          <t>MINI BRAND COLLECTION NO.307 EDP 25ML / LINTERDIT GIVENCHY</t>
        </is>
      </c>
      <c r="C1363" s="48" t="n">
        <v>25</v>
      </c>
      <c r="D1363" s="49" t="inlineStr">
        <is>
          <t>Árabe</t>
        </is>
      </c>
      <c r="E1363" s="50" t="n">
        <v>4</v>
      </c>
      <c r="F1363" s="51">
        <f>E1363*$B$5*(1+$B$6)</f>
        <v>5200</v>
      </c>
      <c r="G1363" s="51">
        <f>F1363*$B$7</f>
        <v>13000</v>
      </c>
      <c r="H1363" s="51">
        <f>G1363-F1363</f>
        <v>7800</v>
      </c>
      <c r="I1363" s="52">
        <f>H1363/G1363</f>
        <v>0.6</v>
      </c>
      <c r="J1363" s="53" t="n"/>
      <c r="K1363" s="54" t="inlineStr">
        <is>
          <t>clon/genérico</t>
        </is>
      </c>
    </row>
    <row r="1364">
      <c r="A1364" s="39" t="inlineStr">
        <is>
          <t>Mini Brand Collection</t>
        </is>
      </c>
      <c r="B1364" s="47" t="inlineStr">
        <is>
          <t>MINI BRAND COLLECTION NO.308 EDP 25ML / BLACK ORCHID TOM FORD</t>
        </is>
      </c>
      <c r="C1364" s="48" t="n">
        <v>25</v>
      </c>
      <c r="D1364" s="49" t="inlineStr">
        <is>
          <t>Árabe</t>
        </is>
      </c>
      <c r="E1364" s="50" t="n">
        <v>4</v>
      </c>
      <c r="F1364" s="51">
        <f>E1364*$B$5*(1+$B$6)</f>
        <v>5200</v>
      </c>
      <c r="G1364" s="51">
        <f>F1364*$B$7</f>
        <v>13000</v>
      </c>
      <c r="H1364" s="51">
        <f>G1364-F1364</f>
        <v>7800</v>
      </c>
      <c r="I1364" s="52">
        <f>H1364/G1364</f>
        <v>0.6</v>
      </c>
      <c r="J1364" s="53" t="n"/>
      <c r="K1364" s="54" t="inlineStr">
        <is>
          <t>clon/genérico</t>
        </is>
      </c>
    </row>
    <row r="1365">
      <c r="A1365" s="39" t="inlineStr">
        <is>
          <t>Mini Brand Collection</t>
        </is>
      </c>
      <c r="B1365" s="47" t="inlineStr">
        <is>
          <t>MINI BRAND COLLECTION NO.309 EDP 25ML / BOMBSHELL VICTORIA SECRETS</t>
        </is>
      </c>
      <c r="C1365" s="48" t="n">
        <v>25</v>
      </c>
      <c r="D1365" s="49" t="inlineStr">
        <is>
          <t>Árabe</t>
        </is>
      </c>
      <c r="E1365" s="50" t="n">
        <v>4</v>
      </c>
      <c r="F1365" s="51">
        <f>E1365*$B$5*(1+$B$6)</f>
        <v>5200</v>
      </c>
      <c r="G1365" s="51">
        <f>F1365*$B$7</f>
        <v>13000</v>
      </c>
      <c r="H1365" s="51">
        <f>G1365-F1365</f>
        <v>7800</v>
      </c>
      <c r="I1365" s="52">
        <f>H1365/G1365</f>
        <v>0.6</v>
      </c>
      <c r="J1365" s="53" t="n"/>
      <c r="K1365" s="54" t="inlineStr">
        <is>
          <t>clon/genérico</t>
        </is>
      </c>
    </row>
    <row r="1366">
      <c r="A1366" s="39" t="inlineStr">
        <is>
          <t>Mini Brand Collection</t>
        </is>
      </c>
      <c r="B1366" s="47" t="inlineStr">
        <is>
          <t>MINI BRAND COLLECTION NO.314 EDP 25ML / VERSACE EROS</t>
        </is>
      </c>
      <c r="C1366" s="48" t="n">
        <v>25</v>
      </c>
      <c r="D1366" s="49" t="inlineStr">
        <is>
          <t>Árabe</t>
        </is>
      </c>
      <c r="E1366" s="50" t="n">
        <v>4</v>
      </c>
      <c r="F1366" s="51">
        <f>E1366*$B$5*(1+$B$6)</f>
        <v>5200</v>
      </c>
      <c r="G1366" s="51">
        <f>F1366*$B$7</f>
        <v>13000</v>
      </c>
      <c r="H1366" s="51">
        <f>G1366-F1366</f>
        <v>7800</v>
      </c>
      <c r="I1366" s="52">
        <f>H1366/G1366</f>
        <v>0.6</v>
      </c>
      <c r="J1366" s="53" t="n"/>
      <c r="K1366" s="54" t="inlineStr">
        <is>
          <t>clon/genérico</t>
        </is>
      </c>
    </row>
    <row r="1367">
      <c r="A1367" s="39" t="inlineStr">
        <is>
          <t>Mini Brand Collection</t>
        </is>
      </c>
      <c r="B1367" s="47" t="inlineStr">
        <is>
          <t>MINI BRAND COLLECTION NO.315 EDP 25ML / VERSACE BRIGHT CRYSTAL</t>
        </is>
      </c>
      <c r="C1367" s="48" t="n">
        <v>25</v>
      </c>
      <c r="D1367" s="49" t="inlineStr">
        <is>
          <t>Árabe</t>
        </is>
      </c>
      <c r="E1367" s="50" t="n">
        <v>4</v>
      </c>
      <c r="F1367" s="51">
        <f>E1367*$B$5*(1+$B$6)</f>
        <v>5200</v>
      </c>
      <c r="G1367" s="51">
        <f>F1367*$B$7</f>
        <v>13000</v>
      </c>
      <c r="H1367" s="51">
        <f>G1367-F1367</f>
        <v>7800</v>
      </c>
      <c r="I1367" s="52">
        <f>H1367/G1367</f>
        <v>0.6</v>
      </c>
      <c r="J1367" s="53" t="n"/>
      <c r="K1367" s="54" t="inlineStr">
        <is>
          <t>clon/genérico</t>
        </is>
      </c>
    </row>
    <row r="1368">
      <c r="A1368" s="39" t="inlineStr">
        <is>
          <t>Mini Brand Collection</t>
        </is>
      </c>
      <c r="B1368" s="47" t="inlineStr">
        <is>
          <t>MINI BRAND COLLECTION NO.316 EDP 25ML / 1 MILLION PACO RABANNE</t>
        </is>
      </c>
      <c r="C1368" s="48" t="n">
        <v>25</v>
      </c>
      <c r="D1368" s="49" t="inlineStr">
        <is>
          <t>Árabe</t>
        </is>
      </c>
      <c r="E1368" s="50" t="n">
        <v>4</v>
      </c>
      <c r="F1368" s="51">
        <f>E1368*$B$5*(1+$B$6)</f>
        <v>5200</v>
      </c>
      <c r="G1368" s="51">
        <f>F1368*$B$7</f>
        <v>13000</v>
      </c>
      <c r="H1368" s="51">
        <f>G1368-F1368</f>
        <v>7800</v>
      </c>
      <c r="I1368" s="52">
        <f>H1368/G1368</f>
        <v>0.6</v>
      </c>
      <c r="J1368" s="53" t="n"/>
      <c r="K1368" s="54" t="inlineStr">
        <is>
          <t>clon/genérico</t>
        </is>
      </c>
    </row>
    <row r="1369">
      <c r="A1369" s="39" t="inlineStr">
        <is>
          <t>Mini Brand Collection</t>
        </is>
      </c>
      <c r="B1369" s="47" t="inlineStr">
        <is>
          <t>MINI BRAND COLLECTION NO.317 EDP 25ML / VERSACE CRYSTAL NOIR</t>
        </is>
      </c>
      <c r="C1369" s="48" t="n">
        <v>25</v>
      </c>
      <c r="D1369" s="49" t="inlineStr">
        <is>
          <t>Árabe</t>
        </is>
      </c>
      <c r="E1369" s="50" t="n">
        <v>4</v>
      </c>
      <c r="F1369" s="51">
        <f>E1369*$B$5*(1+$B$6)</f>
        <v>5200</v>
      </c>
      <c r="G1369" s="51">
        <f>F1369*$B$7</f>
        <v>13000</v>
      </c>
      <c r="H1369" s="51">
        <f>G1369-F1369</f>
        <v>7800</v>
      </c>
      <c r="I1369" s="52">
        <f>H1369/G1369</f>
        <v>0.6</v>
      </c>
      <c r="J1369" s="53" t="n"/>
      <c r="K1369" s="54" t="inlineStr">
        <is>
          <t>clon/genérico</t>
        </is>
      </c>
    </row>
    <row r="1370">
      <c r="A1370" s="39" t="inlineStr">
        <is>
          <t>Mini Brand Collection</t>
        </is>
      </c>
      <c r="B1370" s="47" t="inlineStr">
        <is>
          <t>MINI BRAND COLLECTION NO.318 EDP 25ML / JADORE DIOR</t>
        </is>
      </c>
      <c r="C1370" s="48" t="n">
        <v>25</v>
      </c>
      <c r="D1370" s="49" t="inlineStr">
        <is>
          <t>Árabe</t>
        </is>
      </c>
      <c r="E1370" s="50" t="n">
        <v>4</v>
      </c>
      <c r="F1370" s="51">
        <f>E1370*$B$5*(1+$B$6)</f>
        <v>5200</v>
      </c>
      <c r="G1370" s="51">
        <f>F1370*$B$7</f>
        <v>13000</v>
      </c>
      <c r="H1370" s="51">
        <f>G1370-F1370</f>
        <v>7800</v>
      </c>
      <c r="I1370" s="52">
        <f>H1370/G1370</f>
        <v>0.6</v>
      </c>
      <c r="J1370" s="53" t="n"/>
      <c r="K1370" s="54" t="inlineStr">
        <is>
          <t>clon/genérico</t>
        </is>
      </c>
    </row>
    <row r="1371">
      <c r="A1371" s="39" t="inlineStr">
        <is>
          <t>Mini Brand Collection</t>
        </is>
      </c>
      <c r="B1371" s="47" t="inlineStr">
        <is>
          <t>MINI BRAND COLLECTION NO.319 EDP 25ML / BACCARAT ROUGE PARFUM</t>
        </is>
      </c>
      <c r="C1371" s="48" t="n">
        <v>25</v>
      </c>
      <c r="D1371" s="49" t="inlineStr">
        <is>
          <t>Árabe</t>
        </is>
      </c>
      <c r="E1371" s="50" t="n">
        <v>4</v>
      </c>
      <c r="F1371" s="51">
        <f>E1371*$B$5*(1+$B$6)</f>
        <v>5200</v>
      </c>
      <c r="G1371" s="51">
        <f>F1371*$B$7</f>
        <v>13000</v>
      </c>
      <c r="H1371" s="51">
        <f>G1371-F1371</f>
        <v>7800</v>
      </c>
      <c r="I1371" s="52">
        <f>H1371/G1371</f>
        <v>0.6</v>
      </c>
      <c r="J1371" s="53" t="n"/>
      <c r="K1371" s="54" t="inlineStr">
        <is>
          <t>clon/genérico</t>
        </is>
      </c>
    </row>
    <row r="1372">
      <c r="A1372" s="39" t="inlineStr">
        <is>
          <t>Mini Brand Collection</t>
        </is>
      </c>
      <c r="B1372" s="47" t="inlineStr">
        <is>
          <t>MINI BRAND COLLECTION NO.320 EDP 25ML / CREED AVENTUS</t>
        </is>
      </c>
      <c r="C1372" s="48" t="n">
        <v>25</v>
      </c>
      <c r="D1372" s="49" t="inlineStr">
        <is>
          <t>Árabe</t>
        </is>
      </c>
      <c r="E1372" s="50" t="n">
        <v>4</v>
      </c>
      <c r="F1372" s="51">
        <f>E1372*$B$5*(1+$B$6)</f>
        <v>5200</v>
      </c>
      <c r="G1372" s="51">
        <f>F1372*$B$7</f>
        <v>13000</v>
      </c>
      <c r="H1372" s="51">
        <f>G1372-F1372</f>
        <v>7800</v>
      </c>
      <c r="I1372" s="52">
        <f>H1372/G1372</f>
        <v>0.6</v>
      </c>
      <c r="J1372" s="53" t="n"/>
      <c r="K1372" s="54" t="inlineStr">
        <is>
          <t>clon/genérico</t>
        </is>
      </c>
    </row>
    <row r="1373">
      <c r="A1373" s="39" t="inlineStr">
        <is>
          <t>Mini Brand Collection</t>
        </is>
      </c>
      <c r="B1373" s="47" t="inlineStr">
        <is>
          <t>MINI BRAND COLLECTION NO.321 EDP 25ML / CH 212 VIP ROSE</t>
        </is>
      </c>
      <c r="C1373" s="48" t="n">
        <v>25</v>
      </c>
      <c r="D1373" s="49" t="inlineStr">
        <is>
          <t>Árabe</t>
        </is>
      </c>
      <c r="E1373" s="50" t="n">
        <v>4</v>
      </c>
      <c r="F1373" s="51">
        <f>E1373*$B$5*(1+$B$6)</f>
        <v>5200</v>
      </c>
      <c r="G1373" s="51">
        <f>F1373*$B$7</f>
        <v>13000</v>
      </c>
      <c r="H1373" s="51">
        <f>G1373-F1373</f>
        <v>7800</v>
      </c>
      <c r="I1373" s="52">
        <f>H1373/G1373</f>
        <v>0.6</v>
      </c>
      <c r="J1373" s="53" t="n"/>
      <c r="K1373" s="54" t="inlineStr">
        <is>
          <t>clon/genérico</t>
        </is>
      </c>
    </row>
    <row r="1374">
      <c r="A1374" s="39" t="inlineStr">
        <is>
          <t>Mini Brand Collection</t>
        </is>
      </c>
      <c r="B1374" s="47" t="inlineStr">
        <is>
          <t>MINI BRAND COLLECTION NO.326 EDP 25ML / MOM PARIS YSL</t>
        </is>
      </c>
      <c r="C1374" s="48" t="n">
        <v>25</v>
      </c>
      <c r="D1374" s="49" t="inlineStr">
        <is>
          <t>Árabe</t>
        </is>
      </c>
      <c r="E1374" s="50" t="n">
        <v>4</v>
      </c>
      <c r="F1374" s="51">
        <f>E1374*$B$5*(1+$B$6)</f>
        <v>5200</v>
      </c>
      <c r="G1374" s="51">
        <f>F1374*$B$7</f>
        <v>13000</v>
      </c>
      <c r="H1374" s="51">
        <f>G1374-F1374</f>
        <v>7800</v>
      </c>
      <c r="I1374" s="52">
        <f>H1374/G1374</f>
        <v>0.6</v>
      </c>
      <c r="J1374" s="53" t="n"/>
      <c r="K1374" s="54" t="inlineStr">
        <is>
          <t>clon/genérico</t>
        </is>
      </c>
    </row>
    <row r="1375">
      <c r="A1375" s="39" t="inlineStr">
        <is>
          <t>Mini Brand Collection</t>
        </is>
      </c>
      <c r="B1375" s="47" t="inlineStr">
        <is>
          <t>MINI BRAND COLLECTION NO.330 EDP 25ML / TERRE DHERMES</t>
        </is>
      </c>
      <c r="C1375" s="48" t="n">
        <v>25</v>
      </c>
      <c r="D1375" s="49" t="inlineStr">
        <is>
          <t>Árabe</t>
        </is>
      </c>
      <c r="E1375" s="50" t="n">
        <v>4</v>
      </c>
      <c r="F1375" s="51">
        <f>E1375*$B$5*(1+$B$6)</f>
        <v>5200</v>
      </c>
      <c r="G1375" s="51">
        <f>F1375*$B$7</f>
        <v>13000</v>
      </c>
      <c r="H1375" s="51">
        <f>G1375-F1375</f>
        <v>7800</v>
      </c>
      <c r="I1375" s="52">
        <f>H1375/G1375</f>
        <v>0.6</v>
      </c>
      <c r="J1375" s="53" t="n"/>
      <c r="K1375" s="54" t="inlineStr">
        <is>
          <t>clon/genérico</t>
        </is>
      </c>
    </row>
    <row r="1376">
      <c r="A1376" s="39" t="inlineStr">
        <is>
          <t>Mini Brand Collection</t>
        </is>
      </c>
      <c r="B1376" s="47" t="inlineStr">
        <is>
          <t>MINI BRAND COLLECTION NO.333 EDP 25ML / SI ARMANI</t>
        </is>
      </c>
      <c r="C1376" s="48" t="n">
        <v>25</v>
      </c>
      <c r="D1376" s="49" t="inlineStr">
        <is>
          <t>Árabe</t>
        </is>
      </c>
      <c r="E1376" s="50" t="n">
        <v>4</v>
      </c>
      <c r="F1376" s="51">
        <f>E1376*$B$5*(1+$B$6)</f>
        <v>5200</v>
      </c>
      <c r="G1376" s="51">
        <f>F1376*$B$7</f>
        <v>13000</v>
      </c>
      <c r="H1376" s="51">
        <f>G1376-F1376</f>
        <v>7800</v>
      </c>
      <c r="I1376" s="52">
        <f>H1376/G1376</f>
        <v>0.6</v>
      </c>
      <c r="J1376" s="53" t="n"/>
      <c r="K1376" s="54" t="inlineStr">
        <is>
          <t>clon/genérico</t>
        </is>
      </c>
    </row>
    <row r="1377">
      <c r="A1377" s="39" t="inlineStr">
        <is>
          <t>Mini Brand Collection</t>
        </is>
      </c>
      <c r="B1377" s="47" t="inlineStr">
        <is>
          <t>MINI BRAND COLLECTION NO.334 EDP 25ML / VERSACE POUR HOMME</t>
        </is>
      </c>
      <c r="C1377" s="48" t="n">
        <v>25</v>
      </c>
      <c r="D1377" s="49" t="inlineStr">
        <is>
          <t>Árabe</t>
        </is>
      </c>
      <c r="E1377" s="50" t="n">
        <v>4</v>
      </c>
      <c r="F1377" s="51">
        <f>E1377*$B$5*(1+$B$6)</f>
        <v>5200</v>
      </c>
      <c r="G1377" s="51">
        <f>F1377*$B$7</f>
        <v>13000</v>
      </c>
      <c r="H1377" s="51">
        <f>G1377-F1377</f>
        <v>7800</v>
      </c>
      <c r="I1377" s="52">
        <f>H1377/G1377</f>
        <v>0.6</v>
      </c>
      <c r="J1377" s="53" t="n"/>
      <c r="K1377" s="54" t="inlineStr">
        <is>
          <t>clon/genérico</t>
        </is>
      </c>
    </row>
    <row r="1378">
      <c r="A1378" s="39" t="inlineStr">
        <is>
          <t>Mini Brand Collection</t>
        </is>
      </c>
      <c r="B1378" s="47" t="inlineStr">
        <is>
          <t>MINI BRAND COLLECTION NO.340 EDP 25ML / INTERLUDE AMOUAGE</t>
        </is>
      </c>
      <c r="C1378" s="48" t="n">
        <v>25</v>
      </c>
      <c r="D1378" s="49" t="inlineStr">
        <is>
          <t>Árabe</t>
        </is>
      </c>
      <c r="E1378" s="50" t="n">
        <v>4</v>
      </c>
      <c r="F1378" s="51">
        <f>E1378*$B$5*(1+$B$6)</f>
        <v>5200</v>
      </c>
      <c r="G1378" s="51">
        <f>F1378*$B$7</f>
        <v>13000</v>
      </c>
      <c r="H1378" s="51">
        <f>G1378-F1378</f>
        <v>7800</v>
      </c>
      <c r="I1378" s="52">
        <f>H1378/G1378</f>
        <v>0.6</v>
      </c>
      <c r="J1378" s="53" t="n"/>
      <c r="K1378" s="54" t="inlineStr">
        <is>
          <t>clon/genérico</t>
        </is>
      </c>
    </row>
    <row r="1379">
      <c r="A1379" s="39" t="inlineStr">
        <is>
          <t>Mini Brand Collection</t>
        </is>
      </c>
      <c r="B1379" s="47" t="inlineStr">
        <is>
          <t>MINI BRAND COLLECTION NO.350 EDP 25ML / SCANDAL JPG</t>
        </is>
      </c>
      <c r="C1379" s="48" t="n">
        <v>25</v>
      </c>
      <c r="D1379" s="49" t="inlineStr">
        <is>
          <t>Árabe</t>
        </is>
      </c>
      <c r="E1379" s="50" t="n">
        <v>4</v>
      </c>
      <c r="F1379" s="51">
        <f>E1379*$B$5*(1+$B$6)</f>
        <v>5200</v>
      </c>
      <c r="G1379" s="51">
        <f>F1379*$B$7</f>
        <v>13000</v>
      </c>
      <c r="H1379" s="51">
        <f>G1379-F1379</f>
        <v>7800</v>
      </c>
      <c r="I1379" s="52">
        <f>H1379/G1379</f>
        <v>0.6</v>
      </c>
      <c r="J1379" s="53" t="n"/>
      <c r="K1379" s="54" t="inlineStr">
        <is>
          <t>clon/genérico</t>
        </is>
      </c>
    </row>
    <row r="1380">
      <c r="A1380" s="39" t="inlineStr">
        <is>
          <t>Mizensir</t>
        </is>
      </c>
      <c r="B1380" s="47" t="inlineStr">
        <is>
          <t>MIZENSIR BLUE GIN EDP 100ML UNISEX</t>
        </is>
      </c>
      <c r="C1380" s="48" t="n">
        <v>100</v>
      </c>
      <c r="D1380" s="49" t="inlineStr">
        <is>
          <t>Nicho</t>
        </is>
      </c>
      <c r="E1380" s="50" t="n">
        <v>155</v>
      </c>
      <c r="F1380" s="51">
        <f>E1380*$B$5*(1+$B$6)</f>
        <v>201500</v>
      </c>
      <c r="G1380" s="51">
        <f>F1380*$B$7</f>
        <v>503750</v>
      </c>
      <c r="H1380" s="51">
        <f>G1380-F1380</f>
        <v>302250</v>
      </c>
      <c r="I1380" s="52">
        <f>H1380/G1380</f>
        <v>0.6</v>
      </c>
      <c r="J1380" s="53" t="n"/>
      <c r="K1380" s="54" t="n"/>
    </row>
    <row r="1381">
      <c r="A1381" s="39" t="inlineStr">
        <is>
          <t>Mizensir</t>
        </is>
      </c>
      <c r="B1381" s="47" t="inlineStr">
        <is>
          <t>MIZENSIR BOIS IRIDESCENT EDP 100ML</t>
        </is>
      </c>
      <c r="C1381" s="48" t="n">
        <v>100</v>
      </c>
      <c r="D1381" s="49" t="inlineStr">
        <is>
          <t>Nicho</t>
        </is>
      </c>
      <c r="E1381" s="50" t="n">
        <v>155</v>
      </c>
      <c r="F1381" s="51">
        <f>E1381*$B$5*(1+$B$6)</f>
        <v>201500</v>
      </c>
      <c r="G1381" s="51">
        <f>F1381*$B$7</f>
        <v>503750</v>
      </c>
      <c r="H1381" s="51">
        <f>G1381-F1381</f>
        <v>302250</v>
      </c>
      <c r="I1381" s="52">
        <f>H1381/G1381</f>
        <v>0.6</v>
      </c>
      <c r="J1381" s="53" t="n"/>
      <c r="K1381" s="54" t="n"/>
    </row>
    <row r="1382">
      <c r="A1382" s="39" t="inlineStr">
        <is>
          <t>Mizensir</t>
        </is>
      </c>
      <c r="B1382" s="47" t="inlineStr">
        <is>
          <t>MIZENSIR CELEBES WOOD EDP 100ML</t>
        </is>
      </c>
      <c r="C1382" s="48" t="n">
        <v>100</v>
      </c>
      <c r="D1382" s="49" t="inlineStr">
        <is>
          <t>Nicho</t>
        </is>
      </c>
      <c r="E1382" s="50" t="n">
        <v>155</v>
      </c>
      <c r="F1382" s="51">
        <f>E1382*$B$5*(1+$B$6)</f>
        <v>201500</v>
      </c>
      <c r="G1382" s="51">
        <f>F1382*$B$7</f>
        <v>503750</v>
      </c>
      <c r="H1382" s="51">
        <f>G1382-F1382</f>
        <v>302250</v>
      </c>
      <c r="I1382" s="52">
        <f>H1382/G1382</f>
        <v>0.6</v>
      </c>
      <c r="J1382" s="53" t="n"/>
      <c r="K1382" s="54" t="n"/>
    </row>
    <row r="1383">
      <c r="A1383" s="39" t="inlineStr">
        <is>
          <t>Mizensir</t>
        </is>
      </c>
      <c r="B1383" s="47" t="inlineStr">
        <is>
          <t>MIZENSIR EPINE DE ROSE EDP 100ML UNISEX</t>
        </is>
      </c>
      <c r="C1383" s="48" t="n">
        <v>100</v>
      </c>
      <c r="D1383" s="49" t="inlineStr">
        <is>
          <t>Nicho</t>
        </is>
      </c>
      <c r="E1383" s="50" t="n">
        <v>155</v>
      </c>
      <c r="F1383" s="51">
        <f>E1383*$B$5*(1+$B$6)</f>
        <v>201500</v>
      </c>
      <c r="G1383" s="51">
        <f>F1383*$B$7</f>
        <v>503750</v>
      </c>
      <c r="H1383" s="51">
        <f>G1383-F1383</f>
        <v>302250</v>
      </c>
      <c r="I1383" s="52">
        <f>H1383/G1383</f>
        <v>0.6</v>
      </c>
      <c r="J1383" s="53" t="n"/>
      <c r="K1383" s="54" t="n"/>
    </row>
    <row r="1384">
      <c r="A1384" s="39" t="inlineStr">
        <is>
          <t>Mizensir</t>
        </is>
      </c>
      <c r="B1384" s="47" t="inlineStr">
        <is>
          <t>MIZENSIR FOR YOUR LOVE EDP 100ML UNISEX</t>
        </is>
      </c>
      <c r="C1384" s="48" t="n">
        <v>100</v>
      </c>
      <c r="D1384" s="49" t="inlineStr">
        <is>
          <t>Nicho</t>
        </is>
      </c>
      <c r="E1384" s="50" t="n">
        <v>155</v>
      </c>
      <c r="F1384" s="51">
        <f>E1384*$B$5*(1+$B$6)</f>
        <v>201500</v>
      </c>
      <c r="G1384" s="51">
        <f>F1384*$B$7</f>
        <v>503750</v>
      </c>
      <c r="H1384" s="51">
        <f>G1384-F1384</f>
        <v>302250</v>
      </c>
      <c r="I1384" s="52">
        <f>H1384/G1384</f>
        <v>0.6</v>
      </c>
      <c r="J1384" s="53" t="n"/>
      <c r="K1384" s="54" t="n"/>
    </row>
    <row r="1385">
      <c r="A1385" s="39" t="inlineStr">
        <is>
          <t>Mizensir</t>
        </is>
      </c>
      <c r="B1385" s="47" t="inlineStr">
        <is>
          <t>MIZENSIR POUDRE D'OR EDP 100ML UNISEX</t>
        </is>
      </c>
      <c r="C1385" s="48" t="n">
        <v>100</v>
      </c>
      <c r="D1385" s="49" t="inlineStr">
        <is>
          <t>Nicho</t>
        </is>
      </c>
      <c r="E1385" s="50" t="n">
        <v>155</v>
      </c>
      <c r="F1385" s="51">
        <f>E1385*$B$5*(1+$B$6)</f>
        <v>201500</v>
      </c>
      <c r="G1385" s="51">
        <f>F1385*$B$7</f>
        <v>503750</v>
      </c>
      <c r="H1385" s="51">
        <f>G1385-F1385</f>
        <v>302250</v>
      </c>
      <c r="I1385" s="52">
        <f>H1385/G1385</f>
        <v>0.6</v>
      </c>
      <c r="J1385" s="53" t="n"/>
      <c r="K1385" s="54" t="n"/>
    </row>
    <row r="1386">
      <c r="A1386" s="39" t="inlineStr">
        <is>
          <t>Mizensir</t>
        </is>
      </c>
      <c r="B1386" s="47" t="inlineStr">
        <is>
          <t>MIZENSIR SWEET PRALINE EDP 100ML</t>
        </is>
      </c>
      <c r="C1386" s="48" t="n">
        <v>100</v>
      </c>
      <c r="D1386" s="49" t="inlineStr">
        <is>
          <t>Nicho</t>
        </is>
      </c>
      <c r="E1386" s="50" t="n">
        <v>155</v>
      </c>
      <c r="F1386" s="51">
        <f>E1386*$B$5*(1+$B$6)</f>
        <v>201500</v>
      </c>
      <c r="G1386" s="51">
        <f>F1386*$B$7</f>
        <v>503750</v>
      </c>
      <c r="H1386" s="51">
        <f>G1386-F1386</f>
        <v>302250</v>
      </c>
      <c r="I1386" s="52">
        <f>H1386/G1386</f>
        <v>0.6</v>
      </c>
      <c r="J1386" s="53" t="n"/>
      <c r="K1386" s="54" t="n"/>
    </row>
    <row r="1387">
      <c r="A1387" s="39" t="inlineStr">
        <is>
          <t>Mizensir</t>
        </is>
      </c>
      <c r="B1387" s="47" t="inlineStr">
        <is>
          <t>MIZENSIR TENDER OUD EDP 100ML</t>
        </is>
      </c>
      <c r="C1387" s="48" t="n">
        <v>100</v>
      </c>
      <c r="D1387" s="49" t="inlineStr">
        <is>
          <t>Nicho</t>
        </is>
      </c>
      <c r="E1387" s="50" t="n">
        <v>155</v>
      </c>
      <c r="F1387" s="51">
        <f>E1387*$B$5*(1+$B$6)</f>
        <v>201500</v>
      </c>
      <c r="G1387" s="51">
        <f>F1387*$B$7</f>
        <v>503750</v>
      </c>
      <c r="H1387" s="51">
        <f>G1387-F1387</f>
        <v>302250</v>
      </c>
      <c r="I1387" s="52">
        <f>H1387/G1387</f>
        <v>0.6</v>
      </c>
      <c r="J1387" s="53" t="n"/>
      <c r="K1387" s="54" t="n"/>
    </row>
    <row r="1388">
      <c r="A1388" s="39" t="inlineStr">
        <is>
          <t>Mizensir</t>
        </is>
      </c>
      <c r="B1388" s="47" t="inlineStr">
        <is>
          <t>MIZENSIR TONIC WATER EDP 100ML UNISEX</t>
        </is>
      </c>
      <c r="C1388" s="48" t="n">
        <v>100</v>
      </c>
      <c r="D1388" s="49" t="inlineStr">
        <is>
          <t>Nicho</t>
        </is>
      </c>
      <c r="E1388" s="50" t="n">
        <v>155</v>
      </c>
      <c r="F1388" s="51">
        <f>E1388*$B$5*(1+$B$6)</f>
        <v>201500</v>
      </c>
      <c r="G1388" s="51">
        <f>F1388*$B$7</f>
        <v>503750</v>
      </c>
      <c r="H1388" s="51">
        <f>G1388-F1388</f>
        <v>302250</v>
      </c>
      <c r="I1388" s="52">
        <f>H1388/G1388</f>
        <v>0.6</v>
      </c>
      <c r="J1388" s="53" t="n"/>
      <c r="K1388" s="54" t="n"/>
    </row>
    <row r="1389">
      <c r="A1389" s="39" t="inlineStr">
        <is>
          <t>Modyafa</t>
        </is>
      </c>
      <c r="B1389" s="47" t="inlineStr">
        <is>
          <t>MODYAFA ASRAR AL OUD EDP 100ML</t>
        </is>
      </c>
      <c r="C1389" s="48" t="n">
        <v>100</v>
      </c>
      <c r="D1389" s="49" t="inlineStr">
        <is>
          <t>Árabe</t>
        </is>
      </c>
      <c r="E1389" s="50" t="n">
        <v>22</v>
      </c>
      <c r="F1389" s="51">
        <f>E1389*$B$5*(1+$B$6)</f>
        <v>28600</v>
      </c>
      <c r="G1389" s="51">
        <f>F1389*$B$7</f>
        <v>71500</v>
      </c>
      <c r="H1389" s="51">
        <f>G1389-F1389</f>
        <v>42900</v>
      </c>
      <c r="I1389" s="52">
        <f>H1389/G1389</f>
        <v>0.6</v>
      </c>
      <c r="J1389" s="53" t="n"/>
      <c r="K1389" s="54" t="inlineStr">
        <is>
          <t>clon/genérico</t>
        </is>
      </c>
    </row>
    <row r="1390">
      <c r="A1390" s="39" t="inlineStr">
        <is>
          <t>Modyafa</t>
        </is>
      </c>
      <c r="B1390" s="47" t="inlineStr">
        <is>
          <t>MODYAFA AZRAQ EDP 100ML</t>
        </is>
      </c>
      <c r="C1390" s="48" t="n">
        <v>100</v>
      </c>
      <c r="D1390" s="49" t="inlineStr">
        <is>
          <t>Árabe</t>
        </is>
      </c>
      <c r="E1390" s="50" t="n">
        <v>22</v>
      </c>
      <c r="F1390" s="51">
        <f>E1390*$B$5*(1+$B$6)</f>
        <v>28600</v>
      </c>
      <c r="G1390" s="51">
        <f>F1390*$B$7</f>
        <v>71500</v>
      </c>
      <c r="H1390" s="51">
        <f>G1390-F1390</f>
        <v>42900</v>
      </c>
      <c r="I1390" s="52">
        <f>H1390/G1390</f>
        <v>0.6</v>
      </c>
      <c r="J1390" s="53" t="n"/>
      <c r="K1390" s="54" t="inlineStr">
        <is>
          <t>clon/genérico</t>
        </is>
      </c>
    </row>
    <row r="1391">
      <c r="A1391" s="39" t="inlineStr">
        <is>
          <t>Modyafa</t>
        </is>
      </c>
      <c r="B1391" s="47" t="inlineStr">
        <is>
          <t>MODYAFA DAHAB EDP 100ML</t>
        </is>
      </c>
      <c r="C1391" s="48" t="n">
        <v>100</v>
      </c>
      <c r="D1391" s="49" t="inlineStr">
        <is>
          <t>Árabe</t>
        </is>
      </c>
      <c r="E1391" s="50" t="n">
        <v>25</v>
      </c>
      <c r="F1391" s="51">
        <f>E1391*$B$5*(1+$B$6)</f>
        <v>32500</v>
      </c>
      <c r="G1391" s="51">
        <f>F1391*$B$7</f>
        <v>81250</v>
      </c>
      <c r="H1391" s="51">
        <f>G1391-F1391</f>
        <v>48750</v>
      </c>
      <c r="I1391" s="52">
        <f>H1391/G1391</f>
        <v>0.6</v>
      </c>
      <c r="J1391" s="53" t="n"/>
      <c r="K1391" s="54" t="inlineStr">
        <is>
          <t>clon/genérico</t>
        </is>
      </c>
    </row>
    <row r="1392">
      <c r="A1392" s="39" t="inlineStr">
        <is>
          <t>Modyafa</t>
        </is>
      </c>
      <c r="B1392" s="47" t="inlineStr">
        <is>
          <t>MODYAFA KUMARI EDP 100ML</t>
        </is>
      </c>
      <c r="C1392" s="48" t="n">
        <v>100</v>
      </c>
      <c r="D1392" s="49" t="inlineStr">
        <is>
          <t>Árabe</t>
        </is>
      </c>
      <c r="E1392" s="50" t="n">
        <v>22</v>
      </c>
      <c r="F1392" s="51">
        <f>E1392*$B$5*(1+$B$6)</f>
        <v>28600</v>
      </c>
      <c r="G1392" s="51">
        <f>F1392*$B$7</f>
        <v>71500</v>
      </c>
      <c r="H1392" s="51">
        <f>G1392-F1392</f>
        <v>42900</v>
      </c>
      <c r="I1392" s="52">
        <f>H1392/G1392</f>
        <v>0.6</v>
      </c>
      <c r="J1392" s="53" t="n"/>
      <c r="K1392" s="54" t="inlineStr">
        <is>
          <t>clon/genérico</t>
        </is>
      </c>
    </row>
    <row r="1393">
      <c r="A1393" s="39" t="inlineStr">
        <is>
          <t>Modyafa</t>
        </is>
      </c>
      <c r="B1393" s="47" t="inlineStr">
        <is>
          <t>MODYAFA MALIKA EDP 100ML</t>
        </is>
      </c>
      <c r="C1393" s="48" t="n">
        <v>100</v>
      </c>
      <c r="D1393" s="49" t="inlineStr">
        <is>
          <t>Árabe</t>
        </is>
      </c>
      <c r="E1393" s="50" t="n">
        <v>22</v>
      </c>
      <c r="F1393" s="51">
        <f>E1393*$B$5*(1+$B$6)</f>
        <v>28600</v>
      </c>
      <c r="G1393" s="51">
        <f>F1393*$B$7</f>
        <v>71500</v>
      </c>
      <c r="H1393" s="51">
        <f>G1393-F1393</f>
        <v>42900</v>
      </c>
      <c r="I1393" s="52">
        <f>H1393/G1393</f>
        <v>0.6</v>
      </c>
      <c r="J1393" s="53" t="n"/>
      <c r="K1393" s="54" t="inlineStr">
        <is>
          <t>clon/genérico</t>
        </is>
      </c>
    </row>
    <row r="1394">
      <c r="A1394" s="39" t="inlineStr">
        <is>
          <t>Modyafa</t>
        </is>
      </c>
      <c r="B1394" s="47" t="inlineStr">
        <is>
          <t>MODYAFA SAMAA EDP 100ML</t>
        </is>
      </c>
      <c r="C1394" s="48" t="n">
        <v>100</v>
      </c>
      <c r="D1394" s="49" t="inlineStr">
        <is>
          <t>Árabe</t>
        </is>
      </c>
      <c r="E1394" s="50" t="n">
        <v>25</v>
      </c>
      <c r="F1394" s="51">
        <f>E1394*$B$5*(1+$B$6)</f>
        <v>32500</v>
      </c>
      <c r="G1394" s="51">
        <f>F1394*$B$7</f>
        <v>81250</v>
      </c>
      <c r="H1394" s="51">
        <f>G1394-F1394</f>
        <v>48750</v>
      </c>
      <c r="I1394" s="52">
        <f>H1394/G1394</f>
        <v>0.6</v>
      </c>
      <c r="J1394" s="53" t="n"/>
      <c r="K1394" s="54" t="inlineStr">
        <is>
          <t>clon/genérico</t>
        </is>
      </c>
    </row>
    <row r="1395">
      <c r="A1395" s="39" t="inlineStr">
        <is>
          <t>Modyafa</t>
        </is>
      </c>
      <c r="B1395" s="47" t="inlineStr">
        <is>
          <t>MODYAFA WARDAT AL SABAH EDP 100ML</t>
        </is>
      </c>
      <c r="C1395" s="48" t="n">
        <v>100</v>
      </c>
      <c r="D1395" s="49" t="inlineStr">
        <is>
          <t>Árabe</t>
        </is>
      </c>
      <c r="E1395" s="50" t="n">
        <v>22</v>
      </c>
      <c r="F1395" s="51">
        <f>E1395*$B$5*(1+$B$6)</f>
        <v>28600</v>
      </c>
      <c r="G1395" s="51">
        <f>F1395*$B$7</f>
        <v>71500</v>
      </c>
      <c r="H1395" s="51">
        <f>G1395-F1395</f>
        <v>42900</v>
      </c>
      <c r="I1395" s="52">
        <f>H1395/G1395</f>
        <v>0.6</v>
      </c>
      <c r="J1395" s="53" t="n"/>
      <c r="K1395" s="54" t="inlineStr">
        <is>
          <t>clon/genérico</t>
        </is>
      </c>
    </row>
    <row r="1396">
      <c r="A1396" s="39" t="inlineStr">
        <is>
          <t>Modyafa</t>
        </is>
      </c>
      <c r="B1396" s="47" t="inlineStr">
        <is>
          <t>MODYAFA WUJDAN EDP 100ML</t>
        </is>
      </c>
      <c r="C1396" s="48" t="n">
        <v>100</v>
      </c>
      <c r="D1396" s="49" t="inlineStr">
        <is>
          <t>Árabe</t>
        </is>
      </c>
      <c r="E1396" s="50" t="n">
        <v>22</v>
      </c>
      <c r="F1396" s="51">
        <f>E1396*$B$5*(1+$B$6)</f>
        <v>28600</v>
      </c>
      <c r="G1396" s="51">
        <f>F1396*$B$7</f>
        <v>71500</v>
      </c>
      <c r="H1396" s="51">
        <f>G1396-F1396</f>
        <v>42900</v>
      </c>
      <c r="I1396" s="52">
        <f>H1396/G1396</f>
        <v>0.6</v>
      </c>
      <c r="J1396" s="53" t="n"/>
      <c r="K1396" s="54" t="inlineStr">
        <is>
          <t>clon/genérico</t>
        </is>
      </c>
    </row>
    <row r="1397">
      <c r="A1397" s="39" t="inlineStr">
        <is>
          <t>Montale</t>
        </is>
      </c>
      <c r="B1397" s="47" t="inlineStr">
        <is>
          <t>MONTALE AOUD GREEDY EDP 100ML</t>
        </is>
      </c>
      <c r="C1397" s="48" t="n">
        <v>100</v>
      </c>
      <c r="D1397" s="49" t="inlineStr">
        <is>
          <t>Nicho</t>
        </is>
      </c>
      <c r="E1397" s="50" t="n">
        <v>70</v>
      </c>
      <c r="F1397" s="51">
        <f>E1397*$B$5*(1+$B$6)</f>
        <v>91000</v>
      </c>
      <c r="G1397" s="51">
        <f>F1397*$B$7</f>
        <v>227500</v>
      </c>
      <c r="H1397" s="51">
        <f>G1397-F1397</f>
        <v>136500</v>
      </c>
      <c r="I1397" s="52">
        <f>H1397/G1397</f>
        <v>0.6</v>
      </c>
      <c r="J1397" s="53" t="n"/>
      <c r="K1397" s="54" t="n"/>
    </row>
    <row r="1398">
      <c r="A1398" s="39" t="inlineStr">
        <is>
          <t>Montale</t>
        </is>
      </c>
      <c r="B1398" s="47" t="inlineStr">
        <is>
          <t>MONTALE ARABIANS MUSK EDP 100ML</t>
        </is>
      </c>
      <c r="C1398" s="48" t="n">
        <v>100</v>
      </c>
      <c r="D1398" s="49" t="inlineStr">
        <is>
          <t>Nicho</t>
        </is>
      </c>
      <c r="E1398" s="50" t="n">
        <v>90</v>
      </c>
      <c r="F1398" s="51">
        <f>E1398*$B$5*(1+$B$6)</f>
        <v>117000</v>
      </c>
      <c r="G1398" s="51">
        <f>F1398*$B$7</f>
        <v>292500</v>
      </c>
      <c r="H1398" s="51">
        <f>G1398-F1398</f>
        <v>175500</v>
      </c>
      <c r="I1398" s="52">
        <f>H1398/G1398</f>
        <v>0.6</v>
      </c>
      <c r="J1398" s="53" t="n"/>
      <c r="K1398" s="54" t="n"/>
    </row>
    <row r="1399">
      <c r="A1399" s="39" t="inlineStr">
        <is>
          <t>Montale</t>
        </is>
      </c>
      <c r="B1399" s="47" t="inlineStr">
        <is>
          <t>MONTALE ARABIANS ROSE LEATHER EDP 100ML</t>
        </is>
      </c>
      <c r="C1399" s="48" t="n">
        <v>100</v>
      </c>
      <c r="D1399" s="49" t="inlineStr">
        <is>
          <t>Nicho</t>
        </is>
      </c>
      <c r="E1399" s="50" t="n">
        <v>90</v>
      </c>
      <c r="F1399" s="51">
        <f>E1399*$B$5*(1+$B$6)</f>
        <v>117000</v>
      </c>
      <c r="G1399" s="51">
        <f>F1399*$B$7</f>
        <v>292500</v>
      </c>
      <c r="H1399" s="51">
        <f>G1399-F1399</f>
        <v>175500</v>
      </c>
      <c r="I1399" s="52">
        <f>H1399/G1399</f>
        <v>0.6</v>
      </c>
      <c r="J1399" s="53" t="n"/>
      <c r="K1399" s="54" t="n"/>
    </row>
    <row r="1400">
      <c r="A1400" s="39" t="inlineStr">
        <is>
          <t>Montale</t>
        </is>
      </c>
      <c r="B1400" s="47" t="inlineStr">
        <is>
          <t>MONTALE ARABIANS TONKA EDP 100ML</t>
        </is>
      </c>
      <c r="C1400" s="48" t="n">
        <v>100</v>
      </c>
      <c r="D1400" s="49" t="inlineStr">
        <is>
          <t>Nicho</t>
        </is>
      </c>
      <c r="E1400" s="50" t="n">
        <v>95</v>
      </c>
      <c r="F1400" s="51">
        <f>E1400*$B$5*(1+$B$6)</f>
        <v>123500</v>
      </c>
      <c r="G1400" s="51">
        <f>F1400*$B$7</f>
        <v>308750</v>
      </c>
      <c r="H1400" s="51">
        <f>G1400-F1400</f>
        <v>185250</v>
      </c>
      <c r="I1400" s="52">
        <f>H1400/G1400</f>
        <v>0.6</v>
      </c>
      <c r="J1400" s="53" t="n"/>
      <c r="K1400" s="54" t="n"/>
    </row>
    <row r="1401">
      <c r="A1401" s="39" t="inlineStr">
        <is>
          <t>Montale</t>
        </is>
      </c>
      <c r="B1401" s="47" t="inlineStr">
        <is>
          <t>MONTALE CHOCOLATE GREEDY EDP 100ML</t>
        </is>
      </c>
      <c r="C1401" s="48" t="n">
        <v>100</v>
      </c>
      <c r="D1401" s="49" t="inlineStr">
        <is>
          <t>Nicho</t>
        </is>
      </c>
      <c r="E1401" s="50" t="n">
        <v>81</v>
      </c>
      <c r="F1401" s="51">
        <f>E1401*$B$5*(1+$B$6)</f>
        <v>105300</v>
      </c>
      <c r="G1401" s="51">
        <f>F1401*$B$7</f>
        <v>263250</v>
      </c>
      <c r="H1401" s="51">
        <f>G1401-F1401</f>
        <v>157950</v>
      </c>
      <c r="I1401" s="52">
        <f>H1401/G1401</f>
        <v>0.6</v>
      </c>
      <c r="J1401" s="53" t="n"/>
      <c r="K1401" s="54" t="n"/>
    </row>
    <row r="1402">
      <c r="A1402" s="39" t="inlineStr">
        <is>
          <t>Montale</t>
        </is>
      </c>
      <c r="B1402" s="47" t="inlineStr">
        <is>
          <t>MONTALE HONEY AOUD EDP 100ML</t>
        </is>
      </c>
      <c r="C1402" s="48" t="n">
        <v>100</v>
      </c>
      <c r="D1402" s="49" t="inlineStr">
        <is>
          <t>Nicho</t>
        </is>
      </c>
      <c r="E1402" s="50" t="n">
        <v>90</v>
      </c>
      <c r="F1402" s="51">
        <f>E1402*$B$5*(1+$B$6)</f>
        <v>117000</v>
      </c>
      <c r="G1402" s="51">
        <f>F1402*$B$7</f>
        <v>292500</v>
      </c>
      <c r="H1402" s="51">
        <f>G1402-F1402</f>
        <v>175500</v>
      </c>
      <c r="I1402" s="52">
        <f>H1402/G1402</f>
        <v>0.6</v>
      </c>
      <c r="J1402" s="53" t="n"/>
      <c r="K1402" s="54" t="n"/>
    </row>
    <row r="1403">
      <c r="A1403" s="39" t="inlineStr">
        <is>
          <t>Montale</t>
        </is>
      </c>
      <c r="B1403" s="47" t="inlineStr">
        <is>
          <t>MONTALE INTENSE CAFE EDP 100ML</t>
        </is>
      </c>
      <c r="C1403" s="48" t="n">
        <v>100</v>
      </c>
      <c r="D1403" s="49" t="inlineStr">
        <is>
          <t>Nicho</t>
        </is>
      </c>
      <c r="E1403" s="50" t="n">
        <v>84</v>
      </c>
      <c r="F1403" s="51">
        <f>E1403*$B$5*(1+$B$6)</f>
        <v>109200</v>
      </c>
      <c r="G1403" s="51">
        <f>F1403*$B$7</f>
        <v>273000</v>
      </c>
      <c r="H1403" s="51">
        <f>G1403-F1403</f>
        <v>163800</v>
      </c>
      <c r="I1403" s="52">
        <f>H1403/G1403</f>
        <v>0.6</v>
      </c>
      <c r="J1403" s="53" t="n"/>
      <c r="K1403" s="54" t="n"/>
    </row>
    <row r="1404">
      <c r="A1404" s="39" t="inlineStr">
        <is>
          <t>Montale</t>
        </is>
      </c>
      <c r="B1404" s="47" t="inlineStr">
        <is>
          <t>MONTALE OUD TOBACCO EDP 100ML</t>
        </is>
      </c>
      <c r="C1404" s="48" t="n">
        <v>100</v>
      </c>
      <c r="D1404" s="49" t="inlineStr">
        <is>
          <t>Nicho</t>
        </is>
      </c>
      <c r="E1404" s="50" t="n">
        <v>90</v>
      </c>
      <c r="F1404" s="51">
        <f>E1404*$B$5*(1+$B$6)</f>
        <v>117000</v>
      </c>
      <c r="G1404" s="51">
        <f>F1404*$B$7</f>
        <v>292500</v>
      </c>
      <c r="H1404" s="51">
        <f>G1404-F1404</f>
        <v>175500</v>
      </c>
      <c r="I1404" s="52">
        <f>H1404/G1404</f>
        <v>0.6</v>
      </c>
      <c r="J1404" s="53" t="n"/>
      <c r="K1404" s="54" t="n"/>
    </row>
    <row r="1405">
      <c r="A1405" s="39" t="inlineStr">
        <is>
          <t>Montale</t>
        </is>
      </c>
      <c r="B1405" s="47" t="inlineStr">
        <is>
          <t>MONTALE ROSE ELIXIR EDP 100ML</t>
        </is>
      </c>
      <c r="C1405" s="48" t="n">
        <v>100</v>
      </c>
      <c r="D1405" s="49" t="inlineStr">
        <is>
          <t>Nicho</t>
        </is>
      </c>
      <c r="E1405" s="50" t="n">
        <v>90</v>
      </c>
      <c r="F1405" s="51">
        <f>E1405*$B$5*(1+$B$6)</f>
        <v>117000</v>
      </c>
      <c r="G1405" s="51">
        <f>F1405*$B$7</f>
        <v>292500</v>
      </c>
      <c r="H1405" s="51">
        <f>G1405-F1405</f>
        <v>175500</v>
      </c>
      <c r="I1405" s="52">
        <f>H1405/G1405</f>
        <v>0.6</v>
      </c>
      <c r="J1405" s="53" t="n"/>
      <c r="K1405" s="54" t="n"/>
    </row>
    <row r="1406">
      <c r="A1406" s="39" t="inlineStr">
        <is>
          <t>Montale</t>
        </is>
      </c>
      <c r="B1406" s="47" t="inlineStr">
        <is>
          <t>MONTALE ROSES MUSK EDP 100ML</t>
        </is>
      </c>
      <c r="C1406" s="48" t="n">
        <v>100</v>
      </c>
      <c r="D1406" s="49" t="inlineStr">
        <is>
          <t>Nicho</t>
        </is>
      </c>
      <c r="E1406" s="50" t="n">
        <v>79</v>
      </c>
      <c r="F1406" s="51">
        <f>E1406*$B$5*(1+$B$6)</f>
        <v>102700</v>
      </c>
      <c r="G1406" s="51">
        <f>F1406*$B$7</f>
        <v>256750</v>
      </c>
      <c r="H1406" s="51">
        <f>G1406-F1406</f>
        <v>154050</v>
      </c>
      <c r="I1406" s="52">
        <f>H1406/G1406</f>
        <v>0.6</v>
      </c>
      <c r="J1406" s="53" t="n"/>
      <c r="K1406" s="54" t="n"/>
    </row>
    <row r="1407">
      <c r="A1407" s="39" t="inlineStr">
        <is>
          <t>Montblanc</t>
        </is>
      </c>
      <c r="B1407" s="47" t="inlineStr">
        <is>
          <t>MONTBLANC EXPLORER EDP 100ML MASC</t>
        </is>
      </c>
      <c r="C1407" s="48" t="n">
        <v>100</v>
      </c>
      <c r="D1407" s="49" t="inlineStr">
        <is>
          <t>Diseñador</t>
        </is>
      </c>
      <c r="E1407" s="50" t="n">
        <v>45.5</v>
      </c>
      <c r="F1407" s="51">
        <f>E1407*$B$5*(1+$B$6)</f>
        <v>59150</v>
      </c>
      <c r="G1407" s="51">
        <f>F1407*$B$7</f>
        <v>147875</v>
      </c>
      <c r="H1407" s="51">
        <f>G1407-F1407</f>
        <v>88725</v>
      </c>
      <c r="I1407" s="52">
        <f>H1407/G1407</f>
        <v>0.6</v>
      </c>
      <c r="J1407" s="53" t="n"/>
      <c r="K1407" s="54" t="n"/>
    </row>
    <row r="1408">
      <c r="A1408" s="39" t="inlineStr">
        <is>
          <t>Montblanc</t>
        </is>
      </c>
      <c r="B1408" s="47" t="inlineStr">
        <is>
          <t>MONTBLANC EXPLORER EXTREME PARFUM 100ML</t>
        </is>
      </c>
      <c r="C1408" s="48" t="n">
        <v>100</v>
      </c>
      <c r="D1408" s="49" t="inlineStr">
        <is>
          <t>Diseñador</t>
        </is>
      </c>
      <c r="E1408" s="50" t="n">
        <v>57</v>
      </c>
      <c r="F1408" s="51">
        <f>E1408*$B$5*(1+$B$6)</f>
        <v>74100</v>
      </c>
      <c r="G1408" s="51">
        <f>F1408*$B$7</f>
        <v>185250</v>
      </c>
      <c r="H1408" s="51">
        <f>G1408-F1408</f>
        <v>111150</v>
      </c>
      <c r="I1408" s="52">
        <f>H1408/G1408</f>
        <v>0.6</v>
      </c>
      <c r="J1408" s="53" t="n"/>
      <c r="K1408" s="54" t="n"/>
    </row>
    <row r="1409">
      <c r="A1409" s="39" t="inlineStr">
        <is>
          <t>Montblanc</t>
        </is>
      </c>
      <c r="B1409" s="47" t="inlineStr">
        <is>
          <t>MONTBLANC INDIVIDUEL EDT 75ML MASC</t>
        </is>
      </c>
      <c r="C1409" s="48" t="n">
        <v>75</v>
      </c>
      <c r="D1409" s="49" t="inlineStr">
        <is>
          <t>Diseñador</t>
        </is>
      </c>
      <c r="E1409" s="50" t="n">
        <v>27</v>
      </c>
      <c r="F1409" s="51">
        <f>E1409*$B$5*(1+$B$6)</f>
        <v>35100</v>
      </c>
      <c r="G1409" s="51">
        <f>F1409*$B$7</f>
        <v>87750</v>
      </c>
      <c r="H1409" s="51">
        <f>G1409-F1409</f>
        <v>52650</v>
      </c>
      <c r="I1409" s="52">
        <f>H1409/G1409</f>
        <v>0.6</v>
      </c>
      <c r="J1409" s="53" t="n"/>
      <c r="K1409" s="54" t="n"/>
    </row>
    <row r="1410">
      <c r="A1410" s="39" t="inlineStr">
        <is>
          <t>Montblanc</t>
        </is>
      </c>
      <c r="B1410" s="47" t="inlineStr">
        <is>
          <t>MONTBLANC INDIVIDUELLE EDT 75ML FEM</t>
        </is>
      </c>
      <c r="C1410" s="48" t="n">
        <v>75</v>
      </c>
      <c r="D1410" s="49" t="inlineStr">
        <is>
          <t>Diseñador</t>
        </is>
      </c>
      <c r="E1410" s="50" t="n">
        <v>26</v>
      </c>
      <c r="F1410" s="51">
        <f>E1410*$B$5*(1+$B$6)</f>
        <v>33800</v>
      </c>
      <c r="G1410" s="51">
        <f>F1410*$B$7</f>
        <v>84500</v>
      </c>
      <c r="H1410" s="51">
        <f>G1410-F1410</f>
        <v>50700</v>
      </c>
      <c r="I1410" s="52">
        <f>H1410/G1410</f>
        <v>0.6</v>
      </c>
      <c r="J1410" s="53" t="n"/>
      <c r="K1410" s="54" t="n"/>
    </row>
    <row r="1411">
      <c r="A1411" s="39" t="inlineStr">
        <is>
          <t>Montblanc</t>
        </is>
      </c>
      <c r="B1411" s="47" t="inlineStr">
        <is>
          <t>MONTBLANC LADY EMBLEM ELIXIR EDP 75ML</t>
        </is>
      </c>
      <c r="C1411" s="48" t="n">
        <v>75</v>
      </c>
      <c r="D1411" s="49" t="inlineStr">
        <is>
          <t>Diseñador</t>
        </is>
      </c>
      <c r="E1411" s="50" t="n">
        <v>35</v>
      </c>
      <c r="F1411" s="51">
        <f>E1411*$B$5*(1+$B$6)</f>
        <v>45500</v>
      </c>
      <c r="G1411" s="51">
        <f>F1411*$B$7</f>
        <v>113750</v>
      </c>
      <c r="H1411" s="51">
        <f>G1411-F1411</f>
        <v>68250</v>
      </c>
      <c r="I1411" s="52">
        <f>H1411/G1411</f>
        <v>0.6</v>
      </c>
      <c r="J1411" s="53" t="n"/>
      <c r="K1411" s="54" t="n"/>
    </row>
    <row r="1412">
      <c r="A1412" s="39" t="inlineStr">
        <is>
          <t>Montblanc</t>
        </is>
      </c>
      <c r="B1412" s="47" t="inlineStr">
        <is>
          <t>MONTBLANC LEGEND EDT 100ML MASC</t>
        </is>
      </c>
      <c r="C1412" s="48" t="n">
        <v>100</v>
      </c>
      <c r="D1412" s="49" t="inlineStr">
        <is>
          <t>Diseñador</t>
        </is>
      </c>
      <c r="E1412" s="50" t="n">
        <v>39</v>
      </c>
      <c r="F1412" s="51">
        <f>E1412*$B$5*(1+$B$6)</f>
        <v>50700</v>
      </c>
      <c r="G1412" s="51">
        <f>F1412*$B$7</f>
        <v>126750</v>
      </c>
      <c r="H1412" s="51">
        <f>G1412-F1412</f>
        <v>76050</v>
      </c>
      <c r="I1412" s="52">
        <f>H1412/G1412</f>
        <v>0.6</v>
      </c>
      <c r="J1412" s="53" t="n"/>
      <c r="K1412" s="54" t="n"/>
    </row>
    <row r="1413">
      <c r="A1413" s="39" t="inlineStr">
        <is>
          <t>Montblanc</t>
        </is>
      </c>
      <c r="B1413" s="47" t="inlineStr">
        <is>
          <t>MONTBLANC LEGEND EDT 200ML MASC</t>
        </is>
      </c>
      <c r="C1413" s="48" t="n">
        <v>200</v>
      </c>
      <c r="D1413" s="49" t="inlineStr">
        <is>
          <t>Diseñador</t>
        </is>
      </c>
      <c r="E1413" s="50" t="n">
        <v>55</v>
      </c>
      <c r="F1413" s="51">
        <f>E1413*$B$5*(1+$B$6)</f>
        <v>71500</v>
      </c>
      <c r="G1413" s="51">
        <f>F1413*$B$7</f>
        <v>178750</v>
      </c>
      <c r="H1413" s="51">
        <f>G1413-F1413</f>
        <v>107250</v>
      </c>
      <c r="I1413" s="52">
        <f>H1413/G1413</f>
        <v>0.6</v>
      </c>
      <c r="J1413" s="53" t="n"/>
      <c r="K1413" s="54" t="n"/>
    </row>
    <row r="1414">
      <c r="A1414" s="39" t="inlineStr">
        <is>
          <t>Montblanc</t>
        </is>
      </c>
      <c r="B1414" s="47" t="inlineStr">
        <is>
          <t>MONTBLANC LEGEND ELIXIR PARFUM 100ML</t>
        </is>
      </c>
      <c r="C1414" s="48" t="n">
        <v>100</v>
      </c>
      <c r="D1414" s="49" t="inlineStr">
        <is>
          <t>Diseñador</t>
        </is>
      </c>
      <c r="E1414" s="50" t="n">
        <v>58</v>
      </c>
      <c r="F1414" s="51">
        <f>E1414*$B$5*(1+$B$6)</f>
        <v>75400</v>
      </c>
      <c r="G1414" s="51">
        <f>F1414*$B$7</f>
        <v>188500</v>
      </c>
      <c r="H1414" s="51">
        <f>G1414-F1414</f>
        <v>113100</v>
      </c>
      <c r="I1414" s="52">
        <f>H1414/G1414</f>
        <v>0.6</v>
      </c>
      <c r="J1414" s="53" t="n"/>
      <c r="K1414" s="54" t="n"/>
    </row>
    <row r="1415">
      <c r="A1415" s="39" t="inlineStr">
        <is>
          <t>Montblanc</t>
        </is>
      </c>
      <c r="B1415" s="47" t="inlineStr">
        <is>
          <t>MONTBLANC LEGEND SPIRIT EDT 100ML MASC</t>
        </is>
      </c>
      <c r="C1415" s="48" t="n">
        <v>100</v>
      </c>
      <c r="D1415" s="49" t="inlineStr">
        <is>
          <t>Diseñador</t>
        </is>
      </c>
      <c r="E1415" s="50" t="n">
        <v>42</v>
      </c>
      <c r="F1415" s="51">
        <f>E1415*$B$5*(1+$B$6)</f>
        <v>54600</v>
      </c>
      <c r="G1415" s="51">
        <f>F1415*$B$7</f>
        <v>136500</v>
      </c>
      <c r="H1415" s="51">
        <f>G1415-F1415</f>
        <v>81900</v>
      </c>
      <c r="I1415" s="52">
        <f>H1415/G1415</f>
        <v>0.6</v>
      </c>
      <c r="J1415" s="53" t="n"/>
      <c r="K1415" s="54" t="n"/>
    </row>
    <row r="1416">
      <c r="A1416" s="39" t="inlineStr">
        <is>
          <t>Montblanc</t>
        </is>
      </c>
      <c r="B1416" s="47" t="inlineStr">
        <is>
          <t>MONTBLANC LEGEND SPIRIT EDT 200ML MASC</t>
        </is>
      </c>
      <c r="C1416" s="48" t="n">
        <v>200</v>
      </c>
      <c r="D1416" s="49" t="inlineStr">
        <is>
          <t>Diseñador</t>
        </is>
      </c>
      <c r="E1416" s="50" t="n">
        <v>45</v>
      </c>
      <c r="F1416" s="51">
        <f>E1416*$B$5*(1+$B$6)</f>
        <v>58500</v>
      </c>
      <c r="G1416" s="51">
        <f>F1416*$B$7</f>
        <v>146250</v>
      </c>
      <c r="H1416" s="51">
        <f>G1416-F1416</f>
        <v>87750</v>
      </c>
      <c r="I1416" s="52">
        <f>H1416/G1416</f>
        <v>0.6</v>
      </c>
      <c r="J1416" s="53" t="n"/>
      <c r="K1416" s="54" t="n"/>
    </row>
    <row r="1417">
      <c r="A1417" s="39" t="inlineStr">
        <is>
          <t>Montblanc</t>
        </is>
      </c>
      <c r="B1417" s="47" t="inlineStr">
        <is>
          <t>MONTBLANC SIGNATURE ABSOLUE EDP 90ML</t>
        </is>
      </c>
      <c r="C1417" s="48" t="n">
        <v>90</v>
      </c>
      <c r="D1417" s="49" t="inlineStr">
        <is>
          <t>Diseñador</t>
        </is>
      </c>
      <c r="E1417" s="50" t="n">
        <v>38</v>
      </c>
      <c r="F1417" s="51">
        <f>E1417*$B$5*(1+$B$6)</f>
        <v>49400</v>
      </c>
      <c r="G1417" s="51">
        <f>F1417*$B$7</f>
        <v>123500</v>
      </c>
      <c r="H1417" s="51">
        <f>G1417-F1417</f>
        <v>74100</v>
      </c>
      <c r="I1417" s="52">
        <f>H1417/G1417</f>
        <v>0.6</v>
      </c>
      <c r="J1417" s="53" t="n"/>
      <c r="K1417" s="54" t="n"/>
    </row>
    <row r="1418">
      <c r="A1418" s="39" t="inlineStr">
        <is>
          <t>Montblanc</t>
        </is>
      </c>
      <c r="B1418" s="47" t="inlineStr">
        <is>
          <t>MONTBLANC SIGNATURE EDP 90ML FEM</t>
        </is>
      </c>
      <c r="C1418" s="48" t="n">
        <v>90</v>
      </c>
      <c r="D1418" s="49" t="inlineStr">
        <is>
          <t>Diseñador</t>
        </is>
      </c>
      <c r="E1418" s="50" t="n">
        <v>47</v>
      </c>
      <c r="F1418" s="51">
        <f>E1418*$B$5*(1+$B$6)</f>
        <v>61100</v>
      </c>
      <c r="G1418" s="51">
        <f>F1418*$B$7</f>
        <v>152750</v>
      </c>
      <c r="H1418" s="51">
        <f>G1418-F1418</f>
        <v>91650</v>
      </c>
      <c r="I1418" s="52">
        <f>H1418/G1418</f>
        <v>0.6</v>
      </c>
      <c r="J1418" s="53" t="n"/>
      <c r="K1418" s="54" t="n"/>
    </row>
    <row r="1419">
      <c r="A1419" s="39" t="inlineStr">
        <is>
          <t>Montblanc</t>
        </is>
      </c>
      <c r="B1419" s="47" t="inlineStr">
        <is>
          <t>MONTBLANC SIGNATURE ELIXIR EDP 90ML FEM</t>
        </is>
      </c>
      <c r="C1419" s="48" t="n">
        <v>90</v>
      </c>
      <c r="D1419" s="49" t="inlineStr">
        <is>
          <t>Diseñador</t>
        </is>
      </c>
      <c r="E1419" s="50" t="n">
        <v>54</v>
      </c>
      <c r="F1419" s="51">
        <f>E1419*$B$5*(1+$B$6)</f>
        <v>70200</v>
      </c>
      <c r="G1419" s="51">
        <f>F1419*$B$7</f>
        <v>175500</v>
      </c>
      <c r="H1419" s="51">
        <f>G1419-F1419</f>
        <v>105300</v>
      </c>
      <c r="I1419" s="52">
        <f>H1419/G1419</f>
        <v>0.6</v>
      </c>
      <c r="J1419" s="53" t="n"/>
      <c r="K1419" s="54" t="n"/>
    </row>
    <row r="1420">
      <c r="A1420" s="39" t="inlineStr">
        <is>
          <t>Montblanc</t>
        </is>
      </c>
      <c r="B1420" s="47" t="inlineStr">
        <is>
          <t>MONTBLANC STARWALKER EDT 75ML MASC</t>
        </is>
      </c>
      <c r="C1420" s="48" t="n">
        <v>75</v>
      </c>
      <c r="D1420" s="49" t="inlineStr">
        <is>
          <t>Diseñador</t>
        </is>
      </c>
      <c r="E1420" s="50" t="n">
        <v>27.5</v>
      </c>
      <c r="F1420" s="51">
        <f>E1420*$B$5*(1+$B$6)</f>
        <v>35750</v>
      </c>
      <c r="G1420" s="51">
        <f>F1420*$B$7</f>
        <v>89375</v>
      </c>
      <c r="H1420" s="51">
        <f>G1420-F1420</f>
        <v>53625</v>
      </c>
      <c r="I1420" s="52">
        <f>H1420/G1420</f>
        <v>0.6</v>
      </c>
      <c r="J1420" s="53" t="n"/>
      <c r="K1420" s="54" t="n"/>
    </row>
    <row r="1421">
      <c r="A1421" s="39" t="inlineStr">
        <is>
          <t>Montblanc</t>
        </is>
      </c>
      <c r="B1421" s="47" t="inlineStr">
        <is>
          <t>TESTER MONTBLANC EXPLORER EDP 100ML</t>
        </is>
      </c>
      <c r="C1421" s="48" t="n">
        <v>100</v>
      </c>
      <c r="D1421" s="49" t="inlineStr">
        <is>
          <t>Tester</t>
        </is>
      </c>
      <c r="E1421" s="50" t="n">
        <v>35.5</v>
      </c>
      <c r="F1421" s="51">
        <f>E1421*$B$5*(1+$B$6)</f>
        <v>46150</v>
      </c>
      <c r="G1421" s="51">
        <f>F1421*$B$7</f>
        <v>115375</v>
      </c>
      <c r="H1421" s="51">
        <f>G1421-F1421</f>
        <v>69225</v>
      </c>
      <c r="I1421" s="52">
        <f>H1421/G1421</f>
        <v>0.6</v>
      </c>
      <c r="J1421" s="53" t="n"/>
      <c r="K1421" s="54" t="n"/>
    </row>
    <row r="1422">
      <c r="A1422" s="39" t="inlineStr">
        <is>
          <t>Montblanc</t>
        </is>
      </c>
      <c r="B1422" s="47" t="inlineStr">
        <is>
          <t>TESTER MONTBLANC FEMME INDIVIDUELLE EDT 75ML FEM</t>
        </is>
      </c>
      <c r="C1422" s="48" t="n">
        <v>75</v>
      </c>
      <c r="D1422" s="49" t="inlineStr">
        <is>
          <t>Tester</t>
        </is>
      </c>
      <c r="E1422" s="50" t="n">
        <v>26</v>
      </c>
      <c r="F1422" s="51">
        <f>E1422*$B$5*(1+$B$6)</f>
        <v>33800</v>
      </c>
      <c r="G1422" s="51">
        <f>F1422*$B$7</f>
        <v>84500</v>
      </c>
      <c r="H1422" s="51">
        <f>G1422-F1422</f>
        <v>50700</v>
      </c>
      <c r="I1422" s="52">
        <f>H1422/G1422</f>
        <v>0.6</v>
      </c>
      <c r="J1422" s="53" t="n"/>
      <c r="K1422" s="54" t="n"/>
    </row>
    <row r="1423">
      <c r="A1423" s="39" t="inlineStr">
        <is>
          <t>Montblanc</t>
        </is>
      </c>
      <c r="B1423" s="47" t="inlineStr">
        <is>
          <t>TESTER MONTBLANC INDIVIDUEL EDT 75ML MASC</t>
        </is>
      </c>
      <c r="C1423" s="48" t="n">
        <v>75</v>
      </c>
      <c r="D1423" s="49" t="inlineStr">
        <is>
          <t>Tester</t>
        </is>
      </c>
      <c r="E1423" s="50" t="n">
        <v>26</v>
      </c>
      <c r="F1423" s="51">
        <f>E1423*$B$5*(1+$B$6)</f>
        <v>33800</v>
      </c>
      <c r="G1423" s="51">
        <f>F1423*$B$7</f>
        <v>84500</v>
      </c>
      <c r="H1423" s="51">
        <f>G1423-F1423</f>
        <v>50700</v>
      </c>
      <c r="I1423" s="52">
        <f>H1423/G1423</f>
        <v>0.6</v>
      </c>
      <c r="J1423" s="53" t="n"/>
      <c r="K1423" s="54" t="n"/>
    </row>
    <row r="1424">
      <c r="A1424" s="39" t="inlineStr">
        <is>
          <t>Montblanc</t>
        </is>
      </c>
      <c r="B1424" s="47" t="inlineStr">
        <is>
          <t>TESTER MONTBLANC LEGEND EDP 100ML MASC</t>
        </is>
      </c>
      <c r="C1424" s="48" t="n">
        <v>100</v>
      </c>
      <c r="D1424" s="49" t="inlineStr">
        <is>
          <t>Tester</t>
        </is>
      </c>
      <c r="E1424" s="50" t="n">
        <v>35</v>
      </c>
      <c r="F1424" s="51">
        <f>E1424*$B$5*(1+$B$6)</f>
        <v>45500</v>
      </c>
      <c r="G1424" s="51">
        <f>F1424*$B$7</f>
        <v>113750</v>
      </c>
      <c r="H1424" s="51">
        <f>G1424-F1424</f>
        <v>68250</v>
      </c>
      <c r="I1424" s="52">
        <f>H1424/G1424</f>
        <v>0.6</v>
      </c>
      <c r="J1424" s="53" t="n"/>
      <c r="K1424" s="54" t="n"/>
    </row>
    <row r="1425">
      <c r="A1425" s="39" t="inlineStr">
        <is>
          <t>Montblanc</t>
        </is>
      </c>
      <c r="B1425" s="47" t="inlineStr">
        <is>
          <t>TESTER MONTBLANC PRESENCE EDT 75ML MASC</t>
        </is>
      </c>
      <c r="C1425" s="48" t="n">
        <v>75</v>
      </c>
      <c r="D1425" s="49" t="inlineStr">
        <is>
          <t>Tester</t>
        </is>
      </c>
      <c r="E1425" s="50" t="n">
        <v>20</v>
      </c>
      <c r="F1425" s="51">
        <f>E1425*$B$5*(1+$B$6)</f>
        <v>26000</v>
      </c>
      <c r="G1425" s="51">
        <f>F1425*$B$7</f>
        <v>65000</v>
      </c>
      <c r="H1425" s="51">
        <f>G1425-F1425</f>
        <v>39000</v>
      </c>
      <c r="I1425" s="52">
        <f>H1425/G1425</f>
        <v>0.6</v>
      </c>
      <c r="J1425" s="53" t="n"/>
      <c r="K1425" s="54" t="n"/>
    </row>
    <row r="1426">
      <c r="A1426" s="39" t="inlineStr">
        <is>
          <t>Moschino</t>
        </is>
      </c>
      <c r="B1426" s="47" t="inlineStr">
        <is>
          <t>MOSCHINO FRESH COUT.PINK EDT 100ML</t>
        </is>
      </c>
      <c r="C1426" s="48" t="n">
        <v>100</v>
      </c>
      <c r="D1426" s="49" t="inlineStr">
        <is>
          <t>Diseñador</t>
        </is>
      </c>
      <c r="E1426" s="50" t="n">
        <v>38.5</v>
      </c>
      <c r="F1426" s="51">
        <f>E1426*$B$5*(1+$B$6)</f>
        <v>50050</v>
      </c>
      <c r="G1426" s="51">
        <f>F1426*$B$7</f>
        <v>125125</v>
      </c>
      <c r="H1426" s="51">
        <f>G1426-F1426</f>
        <v>75075</v>
      </c>
      <c r="I1426" s="52">
        <f>H1426/G1426</f>
        <v>0.6</v>
      </c>
      <c r="J1426" s="53" t="n"/>
      <c r="K1426" s="54" t="n"/>
    </row>
    <row r="1427">
      <c r="A1427" s="39" t="inlineStr">
        <is>
          <t>Moschino</t>
        </is>
      </c>
      <c r="B1427" s="47" t="inlineStr">
        <is>
          <t>MOSCHINO FUNNY EDT 100ML</t>
        </is>
      </c>
      <c r="C1427" s="48" t="n">
        <v>100</v>
      </c>
      <c r="D1427" s="49" t="inlineStr">
        <is>
          <t>Diseñador</t>
        </is>
      </c>
      <c r="E1427" s="50" t="n">
        <v>27</v>
      </c>
      <c r="F1427" s="51">
        <f>E1427*$B$5*(1+$B$6)</f>
        <v>35100</v>
      </c>
      <c r="G1427" s="51">
        <f>F1427*$B$7</f>
        <v>87750</v>
      </c>
      <c r="H1427" s="51">
        <f>G1427-F1427</f>
        <v>52650</v>
      </c>
      <c r="I1427" s="52">
        <f>H1427/G1427</f>
        <v>0.6</v>
      </c>
      <c r="J1427" s="53" t="n"/>
      <c r="K1427" s="54" t="n"/>
    </row>
    <row r="1428">
      <c r="A1428" s="39" t="inlineStr">
        <is>
          <t>Moschino</t>
        </is>
      </c>
      <c r="B1428" s="47" t="inlineStr">
        <is>
          <t>MOSCHINO I LOVE LOVE EDT 100ML FEM</t>
        </is>
      </c>
      <c r="C1428" s="48" t="n">
        <v>100</v>
      </c>
      <c r="D1428" s="49" t="inlineStr">
        <is>
          <t>Diseñador</t>
        </is>
      </c>
      <c r="E1428" s="50" t="n">
        <v>29</v>
      </c>
      <c r="F1428" s="51">
        <f>E1428*$B$5*(1+$B$6)</f>
        <v>37700</v>
      </c>
      <c r="G1428" s="51">
        <f>F1428*$B$7</f>
        <v>94250</v>
      </c>
      <c r="H1428" s="51">
        <f>G1428-F1428</f>
        <v>56550</v>
      </c>
      <c r="I1428" s="52">
        <f>H1428/G1428</f>
        <v>0.6</v>
      </c>
      <c r="J1428" s="53" t="n"/>
      <c r="K1428" s="54" t="n"/>
    </row>
    <row r="1429">
      <c r="A1429" s="39" t="inlineStr">
        <is>
          <t>Moschino</t>
        </is>
      </c>
      <c r="B1429" s="47" t="inlineStr">
        <is>
          <t>MOSCHINO PINK BOUQUET EDT 100ML</t>
        </is>
      </c>
      <c r="C1429" s="48" t="n">
        <v>100</v>
      </c>
      <c r="D1429" s="49" t="inlineStr">
        <is>
          <t>Diseñador</t>
        </is>
      </c>
      <c r="E1429" s="50" t="n">
        <v>28.2</v>
      </c>
      <c r="F1429" s="51">
        <f>E1429*$B$5*(1+$B$6)</f>
        <v>36660</v>
      </c>
      <c r="G1429" s="51">
        <f>F1429*$B$7</f>
        <v>91650</v>
      </c>
      <c r="H1429" s="51">
        <f>G1429-F1429</f>
        <v>54990</v>
      </c>
      <c r="I1429" s="52">
        <f>H1429/G1429</f>
        <v>0.6</v>
      </c>
      <c r="J1429" s="53" t="n"/>
      <c r="K1429" s="54" t="n"/>
    </row>
    <row r="1430">
      <c r="A1430" s="39" t="inlineStr">
        <is>
          <t>Moschino</t>
        </is>
      </c>
      <c r="B1430" s="47" t="inlineStr">
        <is>
          <t>MOSCHINO TOY 2 BUBBLE GUM EDT 100ML FEM</t>
        </is>
      </c>
      <c r="C1430" s="48" t="n">
        <v>100</v>
      </c>
      <c r="D1430" s="49" t="inlineStr">
        <is>
          <t>Diseñador</t>
        </is>
      </c>
      <c r="E1430" s="50" t="n">
        <v>38.5</v>
      </c>
      <c r="F1430" s="51">
        <f>E1430*$B$5*(1+$B$6)</f>
        <v>50050</v>
      </c>
      <c r="G1430" s="51">
        <f>F1430*$B$7</f>
        <v>125125</v>
      </c>
      <c r="H1430" s="51">
        <f>G1430-F1430</f>
        <v>75075</v>
      </c>
      <c r="I1430" s="52">
        <f>H1430/G1430</f>
        <v>0.6</v>
      </c>
      <c r="J1430" s="53" t="n"/>
      <c r="K1430" s="54" t="n"/>
    </row>
    <row r="1431">
      <c r="A1431" s="39" t="inlineStr">
        <is>
          <t>Moschino</t>
        </is>
      </c>
      <c r="B1431" s="47" t="inlineStr">
        <is>
          <t>MOSCHINO TOY 2 EDP 100ML FEM</t>
        </is>
      </c>
      <c r="C1431" s="48" t="n">
        <v>100</v>
      </c>
      <c r="D1431" s="49" t="inlineStr">
        <is>
          <t>Diseñador</t>
        </is>
      </c>
      <c r="E1431" s="50" t="n">
        <v>35</v>
      </c>
      <c r="F1431" s="51">
        <f>E1431*$B$5*(1+$B$6)</f>
        <v>45500</v>
      </c>
      <c r="G1431" s="51">
        <f>F1431*$B$7</f>
        <v>113750</v>
      </c>
      <c r="H1431" s="51">
        <f>G1431-F1431</f>
        <v>68250</v>
      </c>
      <c r="I1431" s="52">
        <f>H1431/G1431</f>
        <v>0.6</v>
      </c>
      <c r="J1431" s="53" t="n"/>
      <c r="K1431" s="54" t="n"/>
    </row>
    <row r="1432">
      <c r="A1432" s="39" t="inlineStr">
        <is>
          <t>Moschino</t>
        </is>
      </c>
      <c r="B1432" s="47" t="inlineStr">
        <is>
          <t>MOSCHINO TOY BOY EDP 100ML</t>
        </is>
      </c>
      <c r="C1432" s="48" t="n">
        <v>100</v>
      </c>
      <c r="D1432" s="49" t="inlineStr">
        <is>
          <t>Diseñador</t>
        </is>
      </c>
      <c r="E1432" s="50" t="n">
        <v>39</v>
      </c>
      <c r="F1432" s="51">
        <f>E1432*$B$5*(1+$B$6)</f>
        <v>50700</v>
      </c>
      <c r="G1432" s="51">
        <f>F1432*$B$7</f>
        <v>126750</v>
      </c>
      <c r="H1432" s="51">
        <f>G1432-F1432</f>
        <v>76050</v>
      </c>
      <c r="I1432" s="52">
        <f>H1432/G1432</f>
        <v>0.6</v>
      </c>
      <c r="J1432" s="53" t="n"/>
      <c r="K1432" s="54" t="n"/>
    </row>
    <row r="1433">
      <c r="A1433" s="39" t="inlineStr">
        <is>
          <t>Moschino</t>
        </is>
      </c>
      <c r="B1433" s="47" t="inlineStr">
        <is>
          <t>MOSCHINO UOMO EDT 125ML</t>
        </is>
      </c>
      <c r="C1433" s="48" t="n">
        <v>125</v>
      </c>
      <c r="D1433" s="49" t="inlineStr">
        <is>
          <t>Diseñador</t>
        </is>
      </c>
      <c r="E1433" s="50" t="n">
        <v>22</v>
      </c>
      <c r="F1433" s="51">
        <f>E1433*$B$5*(1+$B$6)</f>
        <v>28600</v>
      </c>
      <c r="G1433" s="51">
        <f>F1433*$B$7</f>
        <v>71500</v>
      </c>
      <c r="H1433" s="51">
        <f>G1433-F1433</f>
        <v>42900</v>
      </c>
      <c r="I1433" s="52">
        <f>H1433/G1433</f>
        <v>0.6</v>
      </c>
      <c r="J1433" s="53" t="n"/>
      <c r="K1433" s="54" t="n"/>
    </row>
    <row r="1434">
      <c r="A1434" s="39" t="inlineStr">
        <is>
          <t>Moschino</t>
        </is>
      </c>
      <c r="B1434" s="47" t="inlineStr">
        <is>
          <t>TESTER MOSCHINO TOY 2 EDP 100ML</t>
        </is>
      </c>
      <c r="C1434" s="48" t="n">
        <v>100</v>
      </c>
      <c r="D1434" s="49" t="inlineStr">
        <is>
          <t>Tester</t>
        </is>
      </c>
      <c r="E1434" s="50" t="n">
        <v>32</v>
      </c>
      <c r="F1434" s="51">
        <f>E1434*$B$5*(1+$B$6)</f>
        <v>41600</v>
      </c>
      <c r="G1434" s="51">
        <f>F1434*$B$7</f>
        <v>104000</v>
      </c>
      <c r="H1434" s="51">
        <f>G1434-F1434</f>
        <v>62400</v>
      </c>
      <c r="I1434" s="52">
        <f>H1434/G1434</f>
        <v>0.6</v>
      </c>
      <c r="J1434" s="53" t="n"/>
      <c r="K1434" s="54" t="n"/>
    </row>
    <row r="1435">
      <c r="A1435" s="39" t="inlineStr">
        <is>
          <t>Moschino</t>
        </is>
      </c>
      <c r="B1435" s="47" t="inlineStr">
        <is>
          <t>TESTER MOSCHINO TOY BOY EDP 100ML</t>
        </is>
      </c>
      <c r="C1435" s="48" t="n">
        <v>100</v>
      </c>
      <c r="D1435" s="49" t="inlineStr">
        <is>
          <t>Tester</t>
        </is>
      </c>
      <c r="E1435" s="50" t="n">
        <v>34.5</v>
      </c>
      <c r="F1435" s="51">
        <f>E1435*$B$5*(1+$B$6)</f>
        <v>44850</v>
      </c>
      <c r="G1435" s="51">
        <f>F1435*$B$7</f>
        <v>112125</v>
      </c>
      <c r="H1435" s="51">
        <f>G1435-F1435</f>
        <v>67275</v>
      </c>
      <c r="I1435" s="52">
        <f>H1435/G1435</f>
        <v>0.6</v>
      </c>
      <c r="J1435" s="53" t="n"/>
      <c r="K1435" s="54" t="n"/>
    </row>
    <row r="1436">
      <c r="A1436" s="39" t="inlineStr">
        <is>
          <t>Moschino</t>
        </is>
      </c>
      <c r="B1436" s="47" t="inlineStr">
        <is>
          <t>Toy 2 Bubble Gum EDT — TESTER</t>
        </is>
      </c>
      <c r="C1436" s="48" t="n">
        <v>100</v>
      </c>
      <c r="D1436" s="49" t="inlineStr">
        <is>
          <t>Tester</t>
        </is>
      </c>
      <c r="E1436" s="50" t="n">
        <v>32</v>
      </c>
      <c r="F1436" s="51">
        <f>E1436*$B$5*(1+$B$6)</f>
        <v>41600</v>
      </c>
      <c r="G1436" s="51">
        <f>F1436*$B$7</f>
        <v>104000</v>
      </c>
      <c r="H1436" s="51">
        <f>G1436-F1436</f>
        <v>62400</v>
      </c>
      <c r="I1436" s="52">
        <f>H1436/G1436</f>
        <v>0.6</v>
      </c>
      <c r="J1436" s="53" t="n"/>
      <c r="K1436" s="54" t="inlineStr">
        <is>
          <t>Tester</t>
        </is>
      </c>
    </row>
    <row r="1437">
      <c r="A1437" s="39" t="inlineStr">
        <is>
          <t>Narciso Rodriguez</t>
        </is>
      </c>
      <c r="B1437" s="47" t="inlineStr">
        <is>
          <t>NARCISO RODRIGUEZ ALL OF ME EDP 90ML FEM</t>
        </is>
      </c>
      <c r="C1437" s="48" t="n">
        <v>90</v>
      </c>
      <c r="D1437" s="49" t="inlineStr">
        <is>
          <t>Diseñador</t>
        </is>
      </c>
      <c r="E1437" s="50" t="n">
        <v>64</v>
      </c>
      <c r="F1437" s="51">
        <f>E1437*$B$5*(1+$B$6)</f>
        <v>83200</v>
      </c>
      <c r="G1437" s="51">
        <f>F1437*$B$7</f>
        <v>208000</v>
      </c>
      <c r="H1437" s="51">
        <f>G1437-F1437</f>
        <v>124800</v>
      </c>
      <c r="I1437" s="52">
        <f>H1437/G1437</f>
        <v>0.6</v>
      </c>
      <c r="J1437" s="53" t="n"/>
      <c r="K1437" s="54" t="n"/>
    </row>
    <row r="1438">
      <c r="A1438" s="39" t="inlineStr">
        <is>
          <t>Narciso Rodriguez</t>
        </is>
      </c>
      <c r="B1438" s="47" t="inlineStr">
        <is>
          <t>NARCISO RODRIGUEZ ALL OF ME INTENSE EDP 90ML FEM</t>
        </is>
      </c>
      <c r="C1438" s="48" t="n">
        <v>90</v>
      </c>
      <c r="D1438" s="49" t="inlineStr">
        <is>
          <t>Diseñador</t>
        </is>
      </c>
      <c r="E1438" s="50" t="n">
        <v>70</v>
      </c>
      <c r="F1438" s="51">
        <f>E1438*$B$5*(1+$B$6)</f>
        <v>91000</v>
      </c>
      <c r="G1438" s="51">
        <f>F1438*$B$7</f>
        <v>227500</v>
      </c>
      <c r="H1438" s="51">
        <f>G1438-F1438</f>
        <v>136500</v>
      </c>
      <c r="I1438" s="52">
        <f>H1438/G1438</f>
        <v>0.6</v>
      </c>
      <c r="J1438" s="53" t="n"/>
      <c r="K1438" s="54" t="n"/>
    </row>
    <row r="1439">
      <c r="A1439" s="39" t="inlineStr">
        <is>
          <t>Narciso Rodriguez</t>
        </is>
      </c>
      <c r="B1439" s="47" t="inlineStr">
        <is>
          <t>NARCISO RODRIGUEZ BLEU NOIR FOR HIM EDP 100ML MASC</t>
        </is>
      </c>
      <c r="C1439" s="48" t="n">
        <v>100</v>
      </c>
      <c r="D1439" s="49" t="inlineStr">
        <is>
          <t>Diseñador</t>
        </is>
      </c>
      <c r="E1439" s="50" t="n">
        <v>59.5</v>
      </c>
      <c r="F1439" s="51">
        <f>E1439*$B$5*(1+$B$6)</f>
        <v>77350</v>
      </c>
      <c r="G1439" s="51">
        <f>F1439*$B$7</f>
        <v>193375</v>
      </c>
      <c r="H1439" s="51">
        <f>G1439-F1439</f>
        <v>116025</v>
      </c>
      <c r="I1439" s="52">
        <f>H1439/G1439</f>
        <v>0.6</v>
      </c>
      <c r="J1439" s="53" t="n"/>
      <c r="K1439" s="54" t="n"/>
    </row>
    <row r="1440">
      <c r="A1440" s="39" t="inlineStr">
        <is>
          <t>Narciso Rodriguez</t>
        </is>
      </c>
      <c r="B1440" s="47" t="inlineStr">
        <is>
          <t>NARCISO RODRIGUEZ BLEU NOIR FOR HIM EDT 100ML</t>
        </is>
      </c>
      <c r="C1440" s="48" t="n">
        <v>100</v>
      </c>
      <c r="D1440" s="49" t="inlineStr">
        <is>
          <t>Diseñador</t>
        </is>
      </c>
      <c r="E1440" s="50" t="n">
        <v>60</v>
      </c>
      <c r="F1440" s="51">
        <f>E1440*$B$5*(1+$B$6)</f>
        <v>78000</v>
      </c>
      <c r="G1440" s="51">
        <f>F1440*$B$7</f>
        <v>195000</v>
      </c>
      <c r="H1440" s="51">
        <f>G1440-F1440</f>
        <v>117000</v>
      </c>
      <c r="I1440" s="52">
        <f>H1440/G1440</f>
        <v>0.6</v>
      </c>
      <c r="J1440" s="53" t="n"/>
      <c r="K1440" s="54" t="n"/>
    </row>
    <row r="1441">
      <c r="A1441" s="39" t="inlineStr">
        <is>
          <t>Narciso Rodriguez</t>
        </is>
      </c>
      <c r="B1441" s="47" t="inlineStr">
        <is>
          <t>NARCISO RODRIGUEZ BLEU NOIR FOR HIM PARFUM 100ML</t>
        </is>
      </c>
      <c r="C1441" s="48" t="n">
        <v>100</v>
      </c>
      <c r="D1441" s="49" t="inlineStr">
        <is>
          <t>Diseñador</t>
        </is>
      </c>
      <c r="E1441" s="50" t="n">
        <v>85</v>
      </c>
      <c r="F1441" s="51">
        <f>E1441*$B$5*(1+$B$6)</f>
        <v>110500</v>
      </c>
      <c r="G1441" s="51">
        <f>F1441*$B$7</f>
        <v>276250</v>
      </c>
      <c r="H1441" s="51">
        <f>G1441-F1441</f>
        <v>165750</v>
      </c>
      <c r="I1441" s="52">
        <f>H1441/G1441</f>
        <v>0.6</v>
      </c>
      <c r="J1441" s="53" t="n"/>
      <c r="K1441" s="54" t="n"/>
    </row>
    <row r="1442">
      <c r="A1442" s="39" t="inlineStr">
        <is>
          <t>Narciso Rodriguez</t>
        </is>
      </c>
      <c r="B1442" s="47" t="inlineStr">
        <is>
          <t>NARCISO RODRIGUEZ FOR HER EDP 100ML - CAJA NEGRA</t>
        </is>
      </c>
      <c r="C1442" s="48" t="n">
        <v>100</v>
      </c>
      <c r="D1442" s="49" t="inlineStr">
        <is>
          <t>Diseñador</t>
        </is>
      </c>
      <c r="E1442" s="50" t="n">
        <v>60</v>
      </c>
      <c r="F1442" s="51">
        <f>E1442*$B$5*(1+$B$6)</f>
        <v>78000</v>
      </c>
      <c r="G1442" s="51">
        <f>F1442*$B$7</f>
        <v>195000</v>
      </c>
      <c r="H1442" s="51">
        <f>G1442-F1442</f>
        <v>117000</v>
      </c>
      <c r="I1442" s="52">
        <f>H1442/G1442</f>
        <v>0.6</v>
      </c>
      <c r="J1442" s="53" t="n"/>
      <c r="K1442" s="54" t="n"/>
    </row>
    <row r="1443">
      <c r="A1443" s="39" t="inlineStr">
        <is>
          <t>Narciso Rodriguez</t>
        </is>
      </c>
      <c r="B1443" s="47" t="inlineStr">
        <is>
          <t>NARCISO RODRIGUEZ FOR HER EDP 150ML - CAJA NEGRA</t>
        </is>
      </c>
      <c r="C1443" s="48" t="n">
        <v>150</v>
      </c>
      <c r="D1443" s="49" t="inlineStr">
        <is>
          <t>Diseñador</t>
        </is>
      </c>
      <c r="E1443" s="50" t="n">
        <v>86</v>
      </c>
      <c r="F1443" s="51">
        <f>E1443*$B$5*(1+$B$6)</f>
        <v>111800</v>
      </c>
      <c r="G1443" s="51">
        <f>F1443*$B$7</f>
        <v>279500</v>
      </c>
      <c r="H1443" s="51">
        <f>G1443-F1443</f>
        <v>167700</v>
      </c>
      <c r="I1443" s="52">
        <f>H1443/G1443</f>
        <v>0.6</v>
      </c>
      <c r="J1443" s="53" t="n"/>
      <c r="K1443" s="54" t="n"/>
    </row>
    <row r="1444">
      <c r="A1444" s="39" t="inlineStr">
        <is>
          <t>Narciso Rodriguez</t>
        </is>
      </c>
      <c r="B1444" s="47" t="inlineStr">
        <is>
          <t>NARCISO RODRIGUEZ FOR HER EDP INTENSE 100ML</t>
        </is>
      </c>
      <c r="C1444" s="48" t="n">
        <v>100</v>
      </c>
      <c r="D1444" s="49" t="inlineStr">
        <is>
          <t>Diseñador</t>
        </is>
      </c>
      <c r="E1444" s="50" t="n">
        <v>100</v>
      </c>
      <c r="F1444" s="51">
        <f>E1444*$B$5*(1+$B$6)</f>
        <v>130000</v>
      </c>
      <c r="G1444" s="51">
        <f>F1444*$B$7</f>
        <v>325000</v>
      </c>
      <c r="H1444" s="51">
        <f>G1444-F1444</f>
        <v>195000</v>
      </c>
      <c r="I1444" s="52">
        <f>H1444/G1444</f>
        <v>0.6</v>
      </c>
      <c r="J1444" s="53" t="n"/>
      <c r="K1444" s="54" t="n"/>
    </row>
    <row r="1445">
      <c r="A1445" s="39" t="inlineStr">
        <is>
          <t>Narciso Rodriguez</t>
        </is>
      </c>
      <c r="B1445" s="47" t="inlineStr">
        <is>
          <t>NARCISO RODRIGUEZ MUSC NUDE EDP 100ML FEM</t>
        </is>
      </c>
      <c r="C1445" s="48" t="n">
        <v>100</v>
      </c>
      <c r="D1445" s="49" t="inlineStr">
        <is>
          <t>Diseñador</t>
        </is>
      </c>
      <c r="E1445" s="50" t="n">
        <v>77</v>
      </c>
      <c r="F1445" s="51">
        <f>E1445*$B$5*(1+$B$6)</f>
        <v>100100</v>
      </c>
      <c r="G1445" s="51">
        <f>F1445*$B$7</f>
        <v>250250</v>
      </c>
      <c r="H1445" s="51">
        <f>G1445-F1445</f>
        <v>150150</v>
      </c>
      <c r="I1445" s="52">
        <f>H1445/G1445</f>
        <v>0.6</v>
      </c>
      <c r="J1445" s="53" t="n"/>
      <c r="K1445" s="54" t="n"/>
    </row>
    <row r="1446">
      <c r="A1446" s="39" t="inlineStr">
        <is>
          <t>New Notes</t>
        </is>
      </c>
      <c r="B1446" s="47" t="inlineStr">
        <is>
          <t>NEW NOTES AKIGALA MANDARINO EDP 50ML</t>
        </is>
      </c>
      <c r="C1446" s="48" t="n">
        <v>50</v>
      </c>
      <c r="D1446" s="49" t="inlineStr">
        <is>
          <t>Nicho</t>
        </is>
      </c>
      <c r="E1446" s="50" t="n">
        <v>240</v>
      </c>
      <c r="F1446" s="51">
        <f>E1446*$B$5*(1+$B$6)</f>
        <v>312000</v>
      </c>
      <c r="G1446" s="51">
        <f>F1446*$B$7</f>
        <v>780000</v>
      </c>
      <c r="H1446" s="51">
        <f>G1446-F1446</f>
        <v>468000</v>
      </c>
      <c r="I1446" s="52">
        <f>H1446/G1446</f>
        <v>0.6</v>
      </c>
      <c r="J1446" s="53" t="n"/>
      <c r="K1446" s="54" t="n"/>
    </row>
    <row r="1447">
      <c r="A1447" s="39" t="inlineStr">
        <is>
          <t>New Notes</t>
        </is>
      </c>
      <c r="B1447" s="47" t="inlineStr">
        <is>
          <t>NEW NOTES CARAMELO VANILLA EDP 50ML</t>
        </is>
      </c>
      <c r="C1447" s="48" t="n">
        <v>50</v>
      </c>
      <c r="D1447" s="49" t="inlineStr">
        <is>
          <t>Nicho</t>
        </is>
      </c>
      <c r="E1447" s="50" t="n">
        <v>240</v>
      </c>
      <c r="F1447" s="51">
        <f>E1447*$B$5*(1+$B$6)</f>
        <v>312000</v>
      </c>
      <c r="G1447" s="51">
        <f>F1447*$B$7</f>
        <v>780000</v>
      </c>
      <c r="H1447" s="51">
        <f>G1447-F1447</f>
        <v>468000</v>
      </c>
      <c r="I1447" s="52">
        <f>H1447/G1447</f>
        <v>0.6</v>
      </c>
      <c r="J1447" s="53" t="n"/>
      <c r="K1447" s="54" t="n"/>
    </row>
    <row r="1448">
      <c r="A1448" s="39" t="inlineStr">
        <is>
          <t>New Notes</t>
        </is>
      </c>
      <c r="B1448" s="47" t="inlineStr">
        <is>
          <t>NEW NOTES COCKTAIL MARACUJA EDP 50ML</t>
        </is>
      </c>
      <c r="C1448" s="48" t="n">
        <v>50</v>
      </c>
      <c r="D1448" s="49" t="inlineStr">
        <is>
          <t>Nicho</t>
        </is>
      </c>
      <c r="E1448" s="50" t="n">
        <v>240</v>
      </c>
      <c r="F1448" s="51">
        <f>E1448*$B$5*(1+$B$6)</f>
        <v>312000</v>
      </c>
      <c r="G1448" s="51">
        <f>F1448*$B$7</f>
        <v>780000</v>
      </c>
      <c r="H1448" s="51">
        <f>G1448-F1448</f>
        <v>468000</v>
      </c>
      <c r="I1448" s="52">
        <f>H1448/G1448</f>
        <v>0.6</v>
      </c>
      <c r="J1448" s="53" t="n"/>
      <c r="K1448" s="54" t="n"/>
    </row>
    <row r="1449">
      <c r="A1449" s="39" t="inlineStr">
        <is>
          <t>New Notes</t>
        </is>
      </c>
      <c r="B1449" s="47" t="inlineStr">
        <is>
          <t>NEW NOTES EROTIKA MAXIMALE EDP 60ML</t>
        </is>
      </c>
      <c r="C1449" s="48" t="n">
        <v>60</v>
      </c>
      <c r="D1449" s="49" t="inlineStr">
        <is>
          <t>Nicho</t>
        </is>
      </c>
      <c r="E1449" s="50" t="n">
        <v>240</v>
      </c>
      <c r="F1449" s="51">
        <f>E1449*$B$5*(1+$B$6)</f>
        <v>312000</v>
      </c>
      <c r="G1449" s="51">
        <f>F1449*$B$7</f>
        <v>780000</v>
      </c>
      <c r="H1449" s="51">
        <f>G1449-F1449</f>
        <v>468000</v>
      </c>
      <c r="I1449" s="52">
        <f>H1449/G1449</f>
        <v>0.6</v>
      </c>
      <c r="J1449" s="53" t="n"/>
      <c r="K1449" s="54" t="n"/>
    </row>
    <row r="1450">
      <c r="A1450" s="39" t="inlineStr">
        <is>
          <t>New Notes</t>
        </is>
      </c>
      <c r="B1450" s="47" t="inlineStr">
        <is>
          <t>NEW NOTES EROTIKA MINIMALE EDP 50ML</t>
        </is>
      </c>
      <c r="C1450" s="48" t="n">
        <v>50</v>
      </c>
      <c r="D1450" s="49" t="inlineStr">
        <is>
          <t>Nicho</t>
        </is>
      </c>
      <c r="E1450" s="50" t="n">
        <v>240</v>
      </c>
      <c r="F1450" s="51">
        <f>E1450*$B$5*(1+$B$6)</f>
        <v>312000</v>
      </c>
      <c r="G1450" s="51">
        <f>F1450*$B$7</f>
        <v>780000</v>
      </c>
      <c r="H1450" s="51">
        <f>G1450-F1450</f>
        <v>468000</v>
      </c>
      <c r="I1450" s="52">
        <f>H1450/G1450</f>
        <v>0.6</v>
      </c>
      <c r="J1450" s="53" t="n"/>
      <c r="K1450" s="54" t="n"/>
    </row>
    <row r="1451">
      <c r="A1451" s="39" t="inlineStr">
        <is>
          <t>New Notes</t>
        </is>
      </c>
      <c r="B1451" s="47" t="inlineStr">
        <is>
          <t>NEW NOTES FELINA EDP 60ML</t>
        </is>
      </c>
      <c r="C1451" s="48" t="n">
        <v>60</v>
      </c>
      <c r="D1451" s="49" t="inlineStr">
        <is>
          <t>Nicho</t>
        </is>
      </c>
      <c r="E1451" s="50" t="n">
        <v>240</v>
      </c>
      <c r="F1451" s="51">
        <f>E1451*$B$5*(1+$B$6)</f>
        <v>312000</v>
      </c>
      <c r="G1451" s="51">
        <f>F1451*$B$7</f>
        <v>780000</v>
      </c>
      <c r="H1451" s="51">
        <f>G1451-F1451</f>
        <v>468000</v>
      </c>
      <c r="I1451" s="52">
        <f>H1451/G1451</f>
        <v>0.6</v>
      </c>
      <c r="J1451" s="53" t="n"/>
      <c r="K1451" s="54" t="n"/>
    </row>
    <row r="1452">
      <c r="A1452" s="39" t="inlineStr">
        <is>
          <t>New Notes</t>
        </is>
      </c>
      <c r="B1452" s="47" t="inlineStr">
        <is>
          <t>NEW NOTES LATTE DI CHERRY EDP 50ML</t>
        </is>
      </c>
      <c r="C1452" s="48" t="n">
        <v>50</v>
      </c>
      <c r="D1452" s="49" t="inlineStr">
        <is>
          <t>Nicho</t>
        </is>
      </c>
      <c r="E1452" s="50" t="n">
        <v>240</v>
      </c>
      <c r="F1452" s="51">
        <f>E1452*$B$5*(1+$B$6)</f>
        <v>312000</v>
      </c>
      <c r="G1452" s="51">
        <f>F1452*$B$7</f>
        <v>780000</v>
      </c>
      <c r="H1452" s="51">
        <f>G1452-F1452</f>
        <v>468000</v>
      </c>
      <c r="I1452" s="52">
        <f>H1452/G1452</f>
        <v>0.6</v>
      </c>
      <c r="J1452" s="53" t="n"/>
      <c r="K1452" s="54" t="n"/>
    </row>
    <row r="1453">
      <c r="A1453" s="39" t="inlineStr">
        <is>
          <t>New Notes</t>
        </is>
      </c>
      <c r="B1453" s="47" t="inlineStr">
        <is>
          <t>NEW NOTES LATTE PISTACHIO EDP 50ML</t>
        </is>
      </c>
      <c r="C1453" s="48" t="n">
        <v>50</v>
      </c>
      <c r="D1453" s="49" t="inlineStr">
        <is>
          <t>Nicho</t>
        </is>
      </c>
      <c r="E1453" s="50" t="n">
        <v>240</v>
      </c>
      <c r="F1453" s="51">
        <f>E1453*$B$5*(1+$B$6)</f>
        <v>312000</v>
      </c>
      <c r="G1453" s="51">
        <f>F1453*$B$7</f>
        <v>780000</v>
      </c>
      <c r="H1453" s="51">
        <f>G1453-F1453</f>
        <v>468000</v>
      </c>
      <c r="I1453" s="52">
        <f>H1453/G1453</f>
        <v>0.6</v>
      </c>
      <c r="J1453" s="53" t="n"/>
      <c r="K1453" s="54" t="n"/>
    </row>
    <row r="1454">
      <c r="A1454" s="39" t="inlineStr">
        <is>
          <t>New Notes</t>
        </is>
      </c>
      <c r="B1454" s="47" t="inlineStr">
        <is>
          <t>NEW NOTES MAGICO SAFRANO EDP 60ML</t>
        </is>
      </c>
      <c r="C1454" s="48" t="n">
        <v>60</v>
      </c>
      <c r="D1454" s="49" t="inlineStr">
        <is>
          <t>Nicho</t>
        </is>
      </c>
      <c r="E1454" s="50" t="n">
        <v>240</v>
      </c>
      <c r="F1454" s="51">
        <f>E1454*$B$5*(1+$B$6)</f>
        <v>312000</v>
      </c>
      <c r="G1454" s="51">
        <f>F1454*$B$7</f>
        <v>780000</v>
      </c>
      <c r="H1454" s="51">
        <f>G1454-F1454</f>
        <v>468000</v>
      </c>
      <c r="I1454" s="52">
        <f>H1454/G1454</f>
        <v>0.6</v>
      </c>
      <c r="J1454" s="53" t="n"/>
      <c r="K1454" s="54" t="n"/>
    </row>
    <row r="1455">
      <c r="A1455" s="39" t="inlineStr">
        <is>
          <t>New Notes</t>
        </is>
      </c>
      <c r="B1455" s="47" t="inlineStr">
        <is>
          <t>NEW NOTES MANGOMINA D EDP 60ML</t>
        </is>
      </c>
      <c r="C1455" s="48" t="n">
        <v>60</v>
      </c>
      <c r="D1455" s="49" t="inlineStr">
        <is>
          <t>Nicho</t>
        </is>
      </c>
      <c r="E1455" s="50" t="n">
        <v>240</v>
      </c>
      <c r="F1455" s="51">
        <f>E1455*$B$5*(1+$B$6)</f>
        <v>312000</v>
      </c>
      <c r="G1455" s="51">
        <f>F1455*$B$7</f>
        <v>780000</v>
      </c>
      <c r="H1455" s="51">
        <f>G1455-F1455</f>
        <v>468000</v>
      </c>
      <c r="I1455" s="52">
        <f>H1455/G1455</f>
        <v>0.6</v>
      </c>
      <c r="J1455" s="53" t="n"/>
      <c r="K1455" s="54" t="n"/>
    </row>
    <row r="1456">
      <c r="A1456" s="39" t="inlineStr">
        <is>
          <t>New Notes</t>
        </is>
      </c>
      <c r="B1456" s="47" t="inlineStr">
        <is>
          <t>NEW NOTES MUSK COMPLEXITY EDP 50ML</t>
        </is>
      </c>
      <c r="C1456" s="48" t="n">
        <v>50</v>
      </c>
      <c r="D1456" s="49" t="inlineStr">
        <is>
          <t>Nicho</t>
        </is>
      </c>
      <c r="E1456" s="50" t="n">
        <v>240</v>
      </c>
      <c r="F1456" s="51">
        <f>E1456*$B$5*(1+$B$6)</f>
        <v>312000</v>
      </c>
      <c r="G1456" s="51">
        <f>F1456*$B$7</f>
        <v>780000</v>
      </c>
      <c r="H1456" s="51">
        <f>G1456-F1456</f>
        <v>468000</v>
      </c>
      <c r="I1456" s="52">
        <f>H1456/G1456</f>
        <v>0.6</v>
      </c>
      <c r="J1456" s="53" t="n"/>
      <c r="K1456" s="54" t="n"/>
    </row>
    <row r="1457">
      <c r="A1457" s="39" t="inlineStr">
        <is>
          <t>New Notes</t>
        </is>
      </c>
      <c r="B1457" s="47" t="inlineStr">
        <is>
          <t>NEW NOTES QUEEN OF THE SEA EDP 50ML</t>
        </is>
      </c>
      <c r="C1457" s="48" t="n">
        <v>50</v>
      </c>
      <c r="D1457" s="49" t="inlineStr">
        <is>
          <t>Nicho</t>
        </is>
      </c>
      <c r="E1457" s="50" t="n">
        <v>240</v>
      </c>
      <c r="F1457" s="51">
        <f>E1457*$B$5*(1+$B$6)</f>
        <v>312000</v>
      </c>
      <c r="G1457" s="51">
        <f>F1457*$B$7</f>
        <v>780000</v>
      </c>
      <c r="H1457" s="51">
        <f>G1457-F1457</f>
        <v>468000</v>
      </c>
      <c r="I1457" s="52">
        <f>H1457/G1457</f>
        <v>0.6</v>
      </c>
      <c r="J1457" s="53" t="n"/>
      <c r="K1457" s="54" t="n"/>
    </row>
    <row r="1458">
      <c r="A1458" s="39" t="inlineStr">
        <is>
          <t>New Notes</t>
        </is>
      </c>
      <c r="B1458" s="47" t="inlineStr">
        <is>
          <t>NEW NOTES ROSA LIMONE EXDP 50ML</t>
        </is>
      </c>
      <c r="C1458" s="48" t="n">
        <v>50</v>
      </c>
      <c r="D1458" s="49" t="inlineStr">
        <is>
          <t>Nicho</t>
        </is>
      </c>
      <c r="E1458" s="50" t="n">
        <v>240</v>
      </c>
      <c r="F1458" s="51">
        <f>E1458*$B$5*(1+$B$6)</f>
        <v>312000</v>
      </c>
      <c r="G1458" s="51">
        <f>F1458*$B$7</f>
        <v>780000</v>
      </c>
      <c r="H1458" s="51">
        <f>G1458-F1458</f>
        <v>468000</v>
      </c>
      <c r="I1458" s="52">
        <f>H1458/G1458</f>
        <v>0.6</v>
      </c>
      <c r="J1458" s="53" t="n"/>
      <c r="K1458" s="54" t="n"/>
    </row>
    <row r="1459">
      <c r="A1459" s="39" t="inlineStr">
        <is>
          <t>New Notes</t>
        </is>
      </c>
      <c r="B1459" s="47" t="inlineStr">
        <is>
          <t>TESTER NEW NOTES AKIGALA MANDARINO EDP 50ML</t>
        </is>
      </c>
      <c r="C1459" s="48" t="n">
        <v>50</v>
      </c>
      <c r="D1459" s="49" t="inlineStr">
        <is>
          <t>Tester</t>
        </is>
      </c>
      <c r="E1459" s="50" t="n">
        <v>200</v>
      </c>
      <c r="F1459" s="51">
        <f>E1459*$B$5*(1+$B$6)</f>
        <v>260000</v>
      </c>
      <c r="G1459" s="51">
        <f>F1459*$B$7</f>
        <v>650000</v>
      </c>
      <c r="H1459" s="51">
        <f>G1459-F1459</f>
        <v>390000</v>
      </c>
      <c r="I1459" s="52">
        <f>H1459/G1459</f>
        <v>0.6</v>
      </c>
      <c r="J1459" s="53" t="n"/>
      <c r="K1459" s="54" t="n"/>
    </row>
    <row r="1460">
      <c r="A1460" s="39" t="inlineStr">
        <is>
          <t>New Notes</t>
        </is>
      </c>
      <c r="B1460" s="47" t="inlineStr">
        <is>
          <t>TESTER NEW NOTES CARAMELO VANILLA EDP 50ML</t>
        </is>
      </c>
      <c r="C1460" s="48" t="n">
        <v>50</v>
      </c>
      <c r="D1460" s="49" t="inlineStr">
        <is>
          <t>Tester</t>
        </is>
      </c>
      <c r="E1460" s="50" t="n">
        <v>200</v>
      </c>
      <c r="F1460" s="51">
        <f>E1460*$B$5*(1+$B$6)</f>
        <v>260000</v>
      </c>
      <c r="G1460" s="51">
        <f>F1460*$B$7</f>
        <v>650000</v>
      </c>
      <c r="H1460" s="51">
        <f>G1460-F1460</f>
        <v>390000</v>
      </c>
      <c r="I1460" s="52">
        <f>H1460/G1460</f>
        <v>0.6</v>
      </c>
      <c r="J1460" s="53" t="n"/>
      <c r="K1460" s="54" t="n"/>
    </row>
    <row r="1461">
      <c r="A1461" s="39" t="inlineStr">
        <is>
          <t>New Notes</t>
        </is>
      </c>
      <c r="B1461" s="47" t="inlineStr">
        <is>
          <t>TESTER NEW NOTES COCKTAIL MARACUJA EDP 50ML</t>
        </is>
      </c>
      <c r="C1461" s="48" t="n">
        <v>50</v>
      </c>
      <c r="D1461" s="49" t="inlineStr">
        <is>
          <t>Tester</t>
        </is>
      </c>
      <c r="E1461" s="50" t="n">
        <v>200</v>
      </c>
      <c r="F1461" s="51">
        <f>E1461*$B$5*(1+$B$6)</f>
        <v>260000</v>
      </c>
      <c r="G1461" s="51">
        <f>F1461*$B$7</f>
        <v>650000</v>
      </c>
      <c r="H1461" s="51">
        <f>G1461-F1461</f>
        <v>390000</v>
      </c>
      <c r="I1461" s="52">
        <f>H1461/G1461</f>
        <v>0.6</v>
      </c>
      <c r="J1461" s="53" t="n"/>
      <c r="K1461" s="54" t="n"/>
    </row>
    <row r="1462">
      <c r="A1462" s="39" t="inlineStr">
        <is>
          <t>New Notes</t>
        </is>
      </c>
      <c r="B1462" s="47" t="inlineStr">
        <is>
          <t>TESTER NEW NOTES EROTIKA MINIMALE EDP 50ML</t>
        </is>
      </c>
      <c r="C1462" s="48" t="n">
        <v>50</v>
      </c>
      <c r="D1462" s="49" t="inlineStr">
        <is>
          <t>Tester</t>
        </is>
      </c>
      <c r="E1462" s="50" t="n">
        <v>200</v>
      </c>
      <c r="F1462" s="51">
        <f>E1462*$B$5*(1+$B$6)</f>
        <v>260000</v>
      </c>
      <c r="G1462" s="51">
        <f>F1462*$B$7</f>
        <v>650000</v>
      </c>
      <c r="H1462" s="51">
        <f>G1462-F1462</f>
        <v>390000</v>
      </c>
      <c r="I1462" s="52">
        <f>H1462/G1462</f>
        <v>0.6</v>
      </c>
      <c r="J1462" s="53" t="n"/>
      <c r="K1462" s="54" t="n"/>
    </row>
    <row r="1463">
      <c r="A1463" s="39" t="inlineStr">
        <is>
          <t>New Notes</t>
        </is>
      </c>
      <c r="B1463" s="47" t="inlineStr">
        <is>
          <t>TESTER NEW NOTES FELINA EDP 60ML</t>
        </is>
      </c>
      <c r="C1463" s="48" t="n">
        <v>60</v>
      </c>
      <c r="D1463" s="49" t="inlineStr">
        <is>
          <t>Tester</t>
        </is>
      </c>
      <c r="E1463" s="50" t="n">
        <v>200</v>
      </c>
      <c r="F1463" s="51">
        <f>E1463*$B$5*(1+$B$6)</f>
        <v>260000</v>
      </c>
      <c r="G1463" s="51">
        <f>F1463*$B$7</f>
        <v>650000</v>
      </c>
      <c r="H1463" s="51">
        <f>G1463-F1463</f>
        <v>390000</v>
      </c>
      <c r="I1463" s="52">
        <f>H1463/G1463</f>
        <v>0.6</v>
      </c>
      <c r="J1463" s="53" t="n"/>
      <c r="K1463" s="54" t="n"/>
    </row>
    <row r="1464">
      <c r="A1464" s="39" t="inlineStr">
        <is>
          <t>New Notes</t>
        </is>
      </c>
      <c r="B1464" s="47" t="inlineStr">
        <is>
          <t>TESTER NEW NOTES LATTE DI CHERRY EDP 50ML</t>
        </is>
      </c>
      <c r="C1464" s="48" t="n">
        <v>50</v>
      </c>
      <c r="D1464" s="49" t="inlineStr">
        <is>
          <t>Tester</t>
        </is>
      </c>
      <c r="E1464" s="50" t="n">
        <v>200</v>
      </c>
      <c r="F1464" s="51">
        <f>E1464*$B$5*(1+$B$6)</f>
        <v>260000</v>
      </c>
      <c r="G1464" s="51">
        <f>F1464*$B$7</f>
        <v>650000</v>
      </c>
      <c r="H1464" s="51">
        <f>G1464-F1464</f>
        <v>390000</v>
      </c>
      <c r="I1464" s="52">
        <f>H1464/G1464</f>
        <v>0.6</v>
      </c>
      <c r="J1464" s="53" t="n"/>
      <c r="K1464" s="54" t="n"/>
    </row>
    <row r="1465">
      <c r="A1465" s="39" t="inlineStr">
        <is>
          <t>New Notes</t>
        </is>
      </c>
      <c r="B1465" s="47" t="inlineStr">
        <is>
          <t>TESTER NEW NOTES LATTE PISTACHIO EDP 50ML</t>
        </is>
      </c>
      <c r="C1465" s="48" t="n">
        <v>50</v>
      </c>
      <c r="D1465" s="49" t="inlineStr">
        <is>
          <t>Tester</t>
        </is>
      </c>
      <c r="E1465" s="50" t="n">
        <v>200</v>
      </c>
      <c r="F1465" s="51">
        <f>E1465*$B$5*(1+$B$6)</f>
        <v>260000</v>
      </c>
      <c r="G1465" s="51">
        <f>F1465*$B$7</f>
        <v>650000</v>
      </c>
      <c r="H1465" s="51">
        <f>G1465-F1465</f>
        <v>390000</v>
      </c>
      <c r="I1465" s="52">
        <f>H1465/G1465</f>
        <v>0.6</v>
      </c>
      <c r="J1465" s="53" t="n"/>
      <c r="K1465" s="54" t="n"/>
    </row>
    <row r="1466">
      <c r="A1466" s="39" t="inlineStr">
        <is>
          <t>New Notes</t>
        </is>
      </c>
      <c r="B1466" s="47" t="inlineStr">
        <is>
          <t>TESTER NEW NOTES MANGOMINA D EDP 60ML</t>
        </is>
      </c>
      <c r="C1466" s="48" t="n">
        <v>60</v>
      </c>
      <c r="D1466" s="49" t="inlineStr">
        <is>
          <t>Tester</t>
        </is>
      </c>
      <c r="E1466" s="50" t="n">
        <v>200</v>
      </c>
      <c r="F1466" s="51">
        <f>E1466*$B$5*(1+$B$6)</f>
        <v>260000</v>
      </c>
      <c r="G1466" s="51">
        <f>F1466*$B$7</f>
        <v>650000</v>
      </c>
      <c r="H1466" s="51">
        <f>G1466-F1466</f>
        <v>390000</v>
      </c>
      <c r="I1466" s="52">
        <f>H1466/G1466</f>
        <v>0.6</v>
      </c>
      <c r="J1466" s="53" t="n"/>
      <c r="K1466" s="54" t="n"/>
    </row>
    <row r="1467">
      <c r="A1467" s="39" t="inlineStr">
        <is>
          <t>New Notes</t>
        </is>
      </c>
      <c r="B1467" s="47" t="inlineStr">
        <is>
          <t>TESTER NEW NOTES MUSK COMPLEXITY EDP 50ML</t>
        </is>
      </c>
      <c r="C1467" s="48" t="n">
        <v>50</v>
      </c>
      <c r="D1467" s="49" t="inlineStr">
        <is>
          <t>Tester</t>
        </is>
      </c>
      <c r="E1467" s="50" t="n">
        <v>200</v>
      </c>
      <c r="F1467" s="51">
        <f>E1467*$B$5*(1+$B$6)</f>
        <v>260000</v>
      </c>
      <c r="G1467" s="51">
        <f>F1467*$B$7</f>
        <v>650000</v>
      </c>
      <c r="H1467" s="51">
        <f>G1467-F1467</f>
        <v>390000</v>
      </c>
      <c r="I1467" s="52">
        <f>H1467/G1467</f>
        <v>0.6</v>
      </c>
      <c r="J1467" s="53" t="n"/>
      <c r="K1467" s="54" t="n"/>
    </row>
    <row r="1468">
      <c r="A1468" s="39" t="inlineStr">
        <is>
          <t>New Notes</t>
        </is>
      </c>
      <c r="B1468" s="47" t="inlineStr">
        <is>
          <t>TESTER NEW NOTES QUEEN OF THE SEA EDP 50ML</t>
        </is>
      </c>
      <c r="C1468" s="48" t="n">
        <v>50</v>
      </c>
      <c r="D1468" s="49" t="inlineStr">
        <is>
          <t>Tester</t>
        </is>
      </c>
      <c r="E1468" s="50" t="n">
        <v>200</v>
      </c>
      <c r="F1468" s="51">
        <f>E1468*$B$5*(1+$B$6)</f>
        <v>260000</v>
      </c>
      <c r="G1468" s="51">
        <f>F1468*$B$7</f>
        <v>650000</v>
      </c>
      <c r="H1468" s="51">
        <f>G1468-F1468</f>
        <v>390000</v>
      </c>
      <c r="I1468" s="52">
        <f>H1468/G1468</f>
        <v>0.6</v>
      </c>
      <c r="J1468" s="53" t="n"/>
      <c r="K1468" s="54" t="n"/>
    </row>
    <row r="1469">
      <c r="A1469" s="39" t="inlineStr">
        <is>
          <t>New Notes</t>
        </is>
      </c>
      <c r="B1469" s="47" t="inlineStr">
        <is>
          <t>TESTER NEW NOTES ROSA LIMONE EDP 50ML</t>
        </is>
      </c>
      <c r="C1469" s="48" t="n">
        <v>50</v>
      </c>
      <c r="D1469" s="49" t="inlineStr">
        <is>
          <t>Tester</t>
        </is>
      </c>
      <c r="E1469" s="50" t="n">
        <v>200</v>
      </c>
      <c r="F1469" s="51">
        <f>E1469*$B$5*(1+$B$6)</f>
        <v>260000</v>
      </c>
      <c r="G1469" s="51">
        <f>F1469*$B$7</f>
        <v>650000</v>
      </c>
      <c r="H1469" s="51">
        <f>G1469-F1469</f>
        <v>390000</v>
      </c>
      <c r="I1469" s="52">
        <f>H1469/G1469</f>
        <v>0.6</v>
      </c>
      <c r="J1469" s="53" t="n"/>
      <c r="K1469" s="54" t="n"/>
    </row>
    <row r="1470">
      <c r="A1470" s="39" t="inlineStr">
        <is>
          <t>Nina Ricci</t>
        </is>
      </c>
      <c r="B1470" s="47" t="inlineStr">
        <is>
          <t>NINA RICCI L'AIR DU TEMPS EDT 100ML</t>
        </is>
      </c>
      <c r="C1470" s="48" t="n">
        <v>100</v>
      </c>
      <c r="D1470" s="49" t="inlineStr">
        <is>
          <t>Diseñador</t>
        </is>
      </c>
      <c r="E1470" s="50" t="n">
        <v>39</v>
      </c>
      <c r="F1470" s="51">
        <f>E1470*$B$5*(1+$B$6)</f>
        <v>50700</v>
      </c>
      <c r="G1470" s="51">
        <f>F1470*$B$7</f>
        <v>126750</v>
      </c>
      <c r="H1470" s="51">
        <f>G1470-F1470</f>
        <v>76050</v>
      </c>
      <c r="I1470" s="52">
        <f>H1470/G1470</f>
        <v>0.6</v>
      </c>
      <c r="J1470" s="53" t="n"/>
      <c r="K1470" s="54" t="n"/>
    </row>
    <row r="1471">
      <c r="A1471" s="39" t="inlineStr">
        <is>
          <t>Nina Ricci</t>
        </is>
      </c>
      <c r="B1471" s="47" t="inlineStr">
        <is>
          <t>NINA RICCI LUNA BLOSSOM EDT 80ML</t>
        </is>
      </c>
      <c r="C1471" s="48" t="n">
        <v>80</v>
      </c>
      <c r="D1471" s="49" t="inlineStr">
        <is>
          <t>Diseñador</t>
        </is>
      </c>
      <c r="E1471" s="50" t="n">
        <v>45</v>
      </c>
      <c r="F1471" s="51">
        <f>E1471*$B$5*(1+$B$6)</f>
        <v>58500</v>
      </c>
      <c r="G1471" s="51">
        <f>F1471*$B$7</f>
        <v>146250</v>
      </c>
      <c r="H1471" s="51">
        <f>G1471-F1471</f>
        <v>87750</v>
      </c>
      <c r="I1471" s="52">
        <f>H1471/G1471</f>
        <v>0.6</v>
      </c>
      <c r="J1471" s="53" t="n"/>
      <c r="K1471" s="54" t="n"/>
    </row>
    <row r="1472">
      <c r="A1472" s="39" t="inlineStr">
        <is>
          <t>Nina Ricci</t>
        </is>
      </c>
      <c r="B1472" s="47" t="inlineStr">
        <is>
          <t>NINA RICCI ROUGE EDT 80ML FEM</t>
        </is>
      </c>
      <c r="C1472" s="48" t="n">
        <v>80</v>
      </c>
      <c r="D1472" s="49" t="inlineStr">
        <is>
          <t>Diseñador</t>
        </is>
      </c>
      <c r="E1472" s="50" t="n">
        <v>48.5</v>
      </c>
      <c r="F1472" s="51">
        <f>E1472*$B$5*(1+$B$6)</f>
        <v>63050</v>
      </c>
      <c r="G1472" s="51">
        <f>F1472*$B$7</f>
        <v>157625</v>
      </c>
      <c r="H1472" s="51">
        <f>G1472-F1472</f>
        <v>94575</v>
      </c>
      <c r="I1472" s="52">
        <f>H1472/G1472</f>
        <v>0.6</v>
      </c>
      <c r="J1472" s="53" t="n"/>
      <c r="K1472" s="54" t="n"/>
    </row>
    <row r="1473">
      <c r="A1473" s="39" t="inlineStr">
        <is>
          <t>Nina Ricci</t>
        </is>
      </c>
      <c r="B1473" s="47" t="inlineStr">
        <is>
          <t>TESTER NINA RICCI FLEUR EDT 80ML</t>
        </is>
      </c>
      <c r="C1473" s="48" t="n">
        <v>80</v>
      </c>
      <c r="D1473" s="49" t="inlineStr">
        <is>
          <t>Tester</t>
        </is>
      </c>
      <c r="E1473" s="50" t="n">
        <v>52</v>
      </c>
      <c r="F1473" s="51">
        <f>E1473*$B$5*(1+$B$6)</f>
        <v>67600</v>
      </c>
      <c r="G1473" s="51">
        <f>F1473*$B$7</f>
        <v>169000</v>
      </c>
      <c r="H1473" s="51">
        <f>G1473-F1473</f>
        <v>101400</v>
      </c>
      <c r="I1473" s="52">
        <f>H1473/G1473</f>
        <v>0.6</v>
      </c>
      <c r="J1473" s="53" t="n"/>
      <c r="K1473" s="54" t="n"/>
    </row>
    <row r="1474">
      <c r="A1474" s="39" t="inlineStr">
        <is>
          <t>Nina Ricci</t>
        </is>
      </c>
      <c r="B1474" s="47" t="inlineStr">
        <is>
          <t>TESTER NINA RICCI L'AIR DU TEMPS EDT 100ML</t>
        </is>
      </c>
      <c r="C1474" s="48" t="n">
        <v>100</v>
      </c>
      <c r="D1474" s="49" t="inlineStr">
        <is>
          <t>Tester</t>
        </is>
      </c>
      <c r="E1474" s="50" t="n">
        <v>26</v>
      </c>
      <c r="F1474" s="51">
        <f>E1474*$B$5*(1+$B$6)</f>
        <v>33800</v>
      </c>
      <c r="G1474" s="51">
        <f>F1474*$B$7</f>
        <v>84500</v>
      </c>
      <c r="H1474" s="51">
        <f>G1474-F1474</f>
        <v>50700</v>
      </c>
      <c r="I1474" s="52">
        <f>H1474/G1474</f>
        <v>0.6</v>
      </c>
      <c r="J1474" s="53" t="n"/>
      <c r="K1474" s="54" t="n"/>
    </row>
    <row r="1475">
      <c r="A1475" s="39" t="inlineStr">
        <is>
          <t>Nishane</t>
        </is>
      </c>
      <c r="B1475" s="47" t="inlineStr">
        <is>
          <t>NISHANE DEZIRO EXTRAIT DE PARFUM 100ML</t>
        </is>
      </c>
      <c r="C1475" s="48" t="n">
        <v>100</v>
      </c>
      <c r="D1475" s="49" t="inlineStr">
        <is>
          <t>Nicho</t>
        </is>
      </c>
      <c r="E1475" s="50" t="n">
        <v>175</v>
      </c>
      <c r="F1475" s="51">
        <f>E1475*$B$5*(1+$B$6)</f>
        <v>227500</v>
      </c>
      <c r="G1475" s="51">
        <f>F1475*$B$7</f>
        <v>568750</v>
      </c>
      <c r="H1475" s="51">
        <f>G1475-F1475</f>
        <v>341250</v>
      </c>
      <c r="I1475" s="52">
        <f>H1475/G1475</f>
        <v>0.6</v>
      </c>
      <c r="J1475" s="53" t="n"/>
      <c r="K1475" s="54" t="n"/>
    </row>
    <row r="1476">
      <c r="A1476" s="39" t="inlineStr">
        <is>
          <t>Nishane</t>
        </is>
      </c>
      <c r="B1476" s="47" t="inlineStr">
        <is>
          <t>NISHANE HACIVAT EXTRAIT DE PARFUM 100ML</t>
        </is>
      </c>
      <c r="C1476" s="48" t="n">
        <v>100</v>
      </c>
      <c r="D1476" s="49" t="inlineStr">
        <is>
          <t>Nicho</t>
        </is>
      </c>
      <c r="E1476" s="50" t="n">
        <v>175</v>
      </c>
      <c r="F1476" s="51">
        <f>E1476*$B$5*(1+$B$6)</f>
        <v>227500</v>
      </c>
      <c r="G1476" s="51">
        <f>F1476*$B$7</f>
        <v>568750</v>
      </c>
      <c r="H1476" s="51">
        <f>G1476-F1476</f>
        <v>341250</v>
      </c>
      <c r="I1476" s="52">
        <f>H1476/G1476</f>
        <v>0.6</v>
      </c>
      <c r="J1476" s="53" t="n"/>
      <c r="K1476" s="54" t="n"/>
    </row>
    <row r="1477">
      <c r="A1477" s="39" t="inlineStr">
        <is>
          <t>Nishane</t>
        </is>
      </c>
      <c r="B1477" s="47" t="inlineStr">
        <is>
          <t>NISHANE HACIVAT OUD EXTRAIT DE PARFUM 50ML</t>
        </is>
      </c>
      <c r="C1477" s="48" t="n">
        <v>50</v>
      </c>
      <c r="D1477" s="49" t="inlineStr">
        <is>
          <t>Nicho</t>
        </is>
      </c>
      <c r="E1477" s="50" t="n">
        <v>290</v>
      </c>
      <c r="F1477" s="51">
        <f>E1477*$B$5*(1+$B$6)</f>
        <v>377000</v>
      </c>
      <c r="G1477" s="51">
        <f>F1477*$B$7</f>
        <v>942500</v>
      </c>
      <c r="H1477" s="51">
        <f>G1477-F1477</f>
        <v>565500</v>
      </c>
      <c r="I1477" s="52">
        <f>H1477/G1477</f>
        <v>0.6</v>
      </c>
      <c r="J1477" s="53" t="n"/>
      <c r="K1477" s="54" t="n"/>
    </row>
    <row r="1478">
      <c r="A1478" s="39" t="inlineStr">
        <is>
          <t>Nishane</t>
        </is>
      </c>
      <c r="B1478" s="47" t="inlineStr">
        <is>
          <t>NISHANE HACIVAT X EXTRAIT DE PARFUM 100ML</t>
        </is>
      </c>
      <c r="C1478" s="48" t="n">
        <v>100</v>
      </c>
      <c r="D1478" s="49" t="inlineStr">
        <is>
          <t>Nicho</t>
        </is>
      </c>
      <c r="E1478" s="50" t="n">
        <v>162</v>
      </c>
      <c r="F1478" s="51">
        <f>E1478*$B$5*(1+$B$6)</f>
        <v>210600</v>
      </c>
      <c r="G1478" s="51">
        <f>F1478*$B$7</f>
        <v>526500</v>
      </c>
      <c r="H1478" s="51">
        <f>G1478-F1478</f>
        <v>315900</v>
      </c>
      <c r="I1478" s="52">
        <f>H1478/G1478</f>
        <v>0.6</v>
      </c>
      <c r="J1478" s="53" t="n"/>
      <c r="K1478" s="54" t="n"/>
    </row>
    <row r="1479">
      <c r="A1479" s="39" t="inlineStr">
        <is>
          <t>Nishane</t>
        </is>
      </c>
      <c r="B1479" s="47" t="inlineStr">
        <is>
          <t>NISHANE KREDO EXTRAIT DE PARFUM 100ML</t>
        </is>
      </c>
      <c r="C1479" s="48" t="n">
        <v>100</v>
      </c>
      <c r="D1479" s="49" t="inlineStr">
        <is>
          <t>Nicho</t>
        </is>
      </c>
      <c r="E1479" s="50" t="n">
        <v>173</v>
      </c>
      <c r="F1479" s="51">
        <f>E1479*$B$5*(1+$B$6)</f>
        <v>224900</v>
      </c>
      <c r="G1479" s="51">
        <f>F1479*$B$7</f>
        <v>562250</v>
      </c>
      <c r="H1479" s="51">
        <f>G1479-F1479</f>
        <v>337350</v>
      </c>
      <c r="I1479" s="52">
        <f>H1479/G1479</f>
        <v>0.6</v>
      </c>
      <c r="J1479" s="53" t="n"/>
      <c r="K1479" s="54" t="n"/>
    </row>
    <row r="1480">
      <c r="A1480" s="39" t="inlineStr">
        <is>
          <t>Nishane</t>
        </is>
      </c>
      <c r="B1480" s="47" t="inlineStr">
        <is>
          <t>NISHANE SHEM EXTRAIT DE PARFUM UNI 50ML</t>
        </is>
      </c>
      <c r="C1480" s="48" t="n">
        <v>50</v>
      </c>
      <c r="D1480" s="49" t="inlineStr">
        <is>
          <t>Nicho</t>
        </is>
      </c>
      <c r="E1480" s="50" t="n">
        <v>290</v>
      </c>
      <c r="F1480" s="51">
        <f>E1480*$B$5*(1+$B$6)</f>
        <v>377000</v>
      </c>
      <c r="G1480" s="51">
        <f>F1480*$B$7</f>
        <v>942500</v>
      </c>
      <c r="H1480" s="51">
        <f>G1480-F1480</f>
        <v>565500</v>
      </c>
      <c r="I1480" s="52">
        <f>H1480/G1480</f>
        <v>0.6</v>
      </c>
      <c r="J1480" s="53" t="n"/>
      <c r="K1480" s="54" t="n"/>
    </row>
    <row r="1481">
      <c r="A1481" s="39" t="inlineStr">
        <is>
          <t>Orientica</t>
        </is>
      </c>
      <c r="B1481" s="47" t="inlineStr">
        <is>
          <t>ORIENTICA ARTE BELLISSIMO DARK DESIRE EDP 75ML</t>
        </is>
      </c>
      <c r="C1481" s="48" t="n">
        <v>75</v>
      </c>
      <c r="D1481" s="49" t="inlineStr">
        <is>
          <t>Árabe</t>
        </is>
      </c>
      <c r="E1481" s="50" t="n">
        <v>54.99</v>
      </c>
      <c r="F1481" s="51">
        <f>E1481*$B$5*(1+$B$6)</f>
        <v>71487</v>
      </c>
      <c r="G1481" s="51">
        <f>F1481*$B$7</f>
        <v>178717.5</v>
      </c>
      <c r="H1481" s="51">
        <f>G1481-F1481</f>
        <v>107230.5</v>
      </c>
      <c r="I1481" s="52">
        <f>H1481/G1481</f>
        <v>0.6</v>
      </c>
      <c r="J1481" s="53" t="n"/>
      <c r="K1481" s="54" t="n"/>
    </row>
    <row r="1482">
      <c r="A1482" s="39" t="inlineStr">
        <is>
          <t>Orientica</t>
        </is>
      </c>
      <c r="B1482" s="47" t="inlineStr">
        <is>
          <t>ORIENTICA ARTE BELLISSIMO ROMANTIC EDP 75ML FEM</t>
        </is>
      </c>
      <c r="C1482" s="48" t="n">
        <v>75</v>
      </c>
      <c r="D1482" s="49" t="inlineStr">
        <is>
          <t>Árabe</t>
        </is>
      </c>
      <c r="E1482" s="50" t="n">
        <v>54.99</v>
      </c>
      <c r="F1482" s="51">
        <f>E1482*$B$5*(1+$B$6)</f>
        <v>71487</v>
      </c>
      <c r="G1482" s="51">
        <f>F1482*$B$7</f>
        <v>178717.5</v>
      </c>
      <c r="H1482" s="51">
        <f>G1482-F1482</f>
        <v>107230.5</v>
      </c>
      <c r="I1482" s="52">
        <f>H1482/G1482</f>
        <v>0.6</v>
      </c>
      <c r="J1482" s="53" t="n"/>
      <c r="K1482" s="54" t="n"/>
    </row>
    <row r="1483">
      <c r="A1483" s="39" t="inlineStr">
        <is>
          <t>Orientica</t>
        </is>
      </c>
      <c r="B1483" s="47" t="inlineStr">
        <is>
          <t>ORIENTICA EXCLUSIVE AZURE FANTASY EXTRAIT DE PARFUM 80ML</t>
        </is>
      </c>
      <c r="C1483" s="48" t="n">
        <v>80</v>
      </c>
      <c r="D1483" s="49" t="inlineStr">
        <is>
          <t>Árabe</t>
        </is>
      </c>
      <c r="E1483" s="50" t="n">
        <v>52</v>
      </c>
      <c r="F1483" s="51">
        <f>E1483*$B$5*(1+$B$6)</f>
        <v>67600</v>
      </c>
      <c r="G1483" s="51">
        <f>F1483*$B$7</f>
        <v>169000</v>
      </c>
      <c r="H1483" s="51">
        <f>G1483-F1483</f>
        <v>101400</v>
      </c>
      <c r="I1483" s="52">
        <f>H1483/G1483</f>
        <v>0.6</v>
      </c>
      <c r="J1483" s="53" t="n"/>
      <c r="K1483" s="54" t="n"/>
    </row>
    <row r="1484">
      <c r="A1484" s="39" t="inlineStr">
        <is>
          <t>Orientica</t>
        </is>
      </c>
      <c r="B1484" s="47" t="inlineStr">
        <is>
          <t>ORIENTICA KIT LUXURY COLLECTION VELVET GOLD (4 PCS)</t>
        </is>
      </c>
      <c r="C1484" s="48" t="n"/>
      <c r="D1484" s="49" t="inlineStr">
        <is>
          <t>Árabe</t>
        </is>
      </c>
      <c r="E1484" s="50" t="n">
        <v>59</v>
      </c>
      <c r="F1484" s="51">
        <f>E1484*$B$5*(1+$B$6)</f>
        <v>76700</v>
      </c>
      <c r="G1484" s="51">
        <f>F1484*$B$7</f>
        <v>191750</v>
      </c>
      <c r="H1484" s="51">
        <f>G1484-F1484</f>
        <v>115050</v>
      </c>
      <c r="I1484" s="52">
        <f>H1484/G1484</f>
        <v>0.6</v>
      </c>
      <c r="J1484" s="53" t="n"/>
      <c r="K1484" s="54" t="n"/>
    </row>
    <row r="1485">
      <c r="A1485" s="39" t="inlineStr">
        <is>
          <t>Orientica</t>
        </is>
      </c>
      <c r="B1485" s="47" t="inlineStr">
        <is>
          <t>ORIENTICA LUXURY COLLECTION AMBER ROUGE (RED) EDP 80ML UNISSEX</t>
        </is>
      </c>
      <c r="C1485" s="48" t="n">
        <v>80</v>
      </c>
      <c r="D1485" s="49" t="inlineStr">
        <is>
          <t>Árabe</t>
        </is>
      </c>
      <c r="E1485" s="50" t="n">
        <v>45</v>
      </c>
      <c r="F1485" s="51">
        <f>E1485*$B$5*(1+$B$6)</f>
        <v>58500</v>
      </c>
      <c r="G1485" s="51">
        <f>F1485*$B$7</f>
        <v>146250</v>
      </c>
      <c r="H1485" s="51">
        <f>G1485-F1485</f>
        <v>87750</v>
      </c>
      <c r="I1485" s="52">
        <f>H1485/G1485</f>
        <v>0.6</v>
      </c>
      <c r="J1485" s="53" t="n"/>
      <c r="K1485" s="54" t="n"/>
    </row>
    <row r="1486">
      <c r="A1486" s="39" t="inlineStr">
        <is>
          <t>Orientica</t>
        </is>
      </c>
      <c r="B1486" s="47" t="inlineStr">
        <is>
          <t>ORIENTICA LUXURY COLLECTION OUD SAFFRON EDP 80ML</t>
        </is>
      </c>
      <c r="C1486" s="48" t="n">
        <v>80</v>
      </c>
      <c r="D1486" s="49" t="inlineStr">
        <is>
          <t>Árabe</t>
        </is>
      </c>
      <c r="E1486" s="50" t="n">
        <v>44</v>
      </c>
      <c r="F1486" s="51">
        <f>E1486*$B$5*(1+$B$6)</f>
        <v>57200</v>
      </c>
      <c r="G1486" s="51">
        <f>F1486*$B$7</f>
        <v>143000</v>
      </c>
      <c r="H1486" s="51">
        <f>G1486-F1486</f>
        <v>85800</v>
      </c>
      <c r="I1486" s="52">
        <f>H1486/G1486</f>
        <v>0.6</v>
      </c>
      <c r="J1486" s="53" t="n"/>
      <c r="K1486" s="54" t="n"/>
    </row>
    <row r="1487">
      <c r="A1487" s="39" t="inlineStr">
        <is>
          <t>Orientica</t>
        </is>
      </c>
      <c r="B1487" s="47" t="inlineStr">
        <is>
          <t>ORIENTICA LUXURY COLLECTION ROYAL AMBER (GOLD) EDP 150ML</t>
        </is>
      </c>
      <c r="C1487" s="48" t="n">
        <v>150</v>
      </c>
      <c r="D1487" s="49" t="inlineStr">
        <is>
          <t>Árabe</t>
        </is>
      </c>
      <c r="E1487" s="50" t="n">
        <v>64</v>
      </c>
      <c r="F1487" s="51">
        <f>E1487*$B$5*(1+$B$6)</f>
        <v>83200</v>
      </c>
      <c r="G1487" s="51">
        <f>F1487*$B$7</f>
        <v>208000</v>
      </c>
      <c r="H1487" s="51">
        <f>G1487-F1487</f>
        <v>124800</v>
      </c>
      <c r="I1487" s="52">
        <f>H1487/G1487</f>
        <v>0.6</v>
      </c>
      <c r="J1487" s="53" t="n"/>
      <c r="K1487" s="54" t="n"/>
    </row>
    <row r="1488">
      <c r="A1488" s="39" t="inlineStr">
        <is>
          <t>Orientica</t>
        </is>
      </c>
      <c r="B1488" s="47" t="inlineStr">
        <is>
          <t>ORIENTICA LUXURY COLLECTION ROYAL AMBER (GOLD) EDP 80ML</t>
        </is>
      </c>
      <c r="C1488" s="48" t="n">
        <v>80</v>
      </c>
      <c r="D1488" s="49" t="inlineStr">
        <is>
          <t>Árabe</t>
        </is>
      </c>
      <c r="E1488" s="50" t="n">
        <v>46.75</v>
      </c>
      <c r="F1488" s="51">
        <f>E1488*$B$5*(1+$B$6)</f>
        <v>60775</v>
      </c>
      <c r="G1488" s="51">
        <f>F1488*$B$7</f>
        <v>151937.5</v>
      </c>
      <c r="H1488" s="51">
        <f>G1488-F1488</f>
        <v>91162.5</v>
      </c>
      <c r="I1488" s="52">
        <f>H1488/G1488</f>
        <v>0.6</v>
      </c>
      <c r="J1488" s="53" t="n"/>
      <c r="K1488" s="54" t="n"/>
    </row>
    <row r="1489">
      <c r="A1489" s="39" t="inlineStr">
        <is>
          <t>Ormonde Jayne</t>
        </is>
      </c>
      <c r="B1489" s="47" t="inlineStr">
        <is>
          <t>ORMONDE JAYNE AMBRE ROYAL PARFUM 88ML</t>
        </is>
      </c>
      <c r="C1489" s="48" t="n">
        <v>88</v>
      </c>
      <c r="D1489" s="49" t="inlineStr">
        <is>
          <t>Nicho</t>
        </is>
      </c>
      <c r="E1489" s="50" t="n">
        <v>210</v>
      </c>
      <c r="F1489" s="51">
        <f>E1489*$B$5*(1+$B$6)</f>
        <v>273000</v>
      </c>
      <c r="G1489" s="51">
        <f>F1489*$B$7</f>
        <v>682500</v>
      </c>
      <c r="H1489" s="51">
        <f>G1489-F1489</f>
        <v>409500</v>
      </c>
      <c r="I1489" s="52">
        <f>H1489/G1489</f>
        <v>0.6</v>
      </c>
      <c r="J1489" s="53" t="n"/>
      <c r="K1489" s="54" t="n"/>
    </row>
    <row r="1490">
      <c r="A1490" s="39" t="inlineStr">
        <is>
          <t>Ormonde Jayne</t>
        </is>
      </c>
      <c r="B1490" s="47" t="inlineStr">
        <is>
          <t>ORMONDE JAYNE ARABESQUE EDP 88ML UNISEX</t>
        </is>
      </c>
      <c r="C1490" s="48" t="n">
        <v>88</v>
      </c>
      <c r="D1490" s="49" t="inlineStr">
        <is>
          <t>Nicho</t>
        </is>
      </c>
      <c r="E1490" s="50" t="n">
        <v>210</v>
      </c>
      <c r="F1490" s="51">
        <f>E1490*$B$5*(1+$B$6)</f>
        <v>273000</v>
      </c>
      <c r="G1490" s="51">
        <f>F1490*$B$7</f>
        <v>682500</v>
      </c>
      <c r="H1490" s="51">
        <f>G1490-F1490</f>
        <v>409500</v>
      </c>
      <c r="I1490" s="52">
        <f>H1490/G1490</f>
        <v>0.6</v>
      </c>
      <c r="J1490" s="53" t="n"/>
      <c r="K1490" s="54" t="n"/>
    </row>
    <row r="1491">
      <c r="A1491" s="39" t="inlineStr">
        <is>
          <t>Ormonde Jayne</t>
        </is>
      </c>
      <c r="B1491" s="47" t="inlineStr">
        <is>
          <t>ORMONDE JAYNE BABYLONIA EDP 88ML FEM</t>
        </is>
      </c>
      <c r="C1491" s="48" t="n">
        <v>88</v>
      </c>
      <c r="D1491" s="49" t="inlineStr">
        <is>
          <t>Nicho</t>
        </is>
      </c>
      <c r="E1491" s="50" t="n">
        <v>210</v>
      </c>
      <c r="F1491" s="51">
        <f>E1491*$B$5*(1+$B$6)</f>
        <v>273000</v>
      </c>
      <c r="G1491" s="51">
        <f>F1491*$B$7</f>
        <v>682500</v>
      </c>
      <c r="H1491" s="51">
        <f>G1491-F1491</f>
        <v>409500</v>
      </c>
      <c r="I1491" s="52">
        <f>H1491/G1491</f>
        <v>0.6</v>
      </c>
      <c r="J1491" s="53" t="n"/>
      <c r="K1491" s="54" t="n"/>
    </row>
    <row r="1492">
      <c r="A1492" s="39" t="inlineStr">
        <is>
          <t>Ormonde Jayne</t>
        </is>
      </c>
      <c r="B1492" s="47" t="inlineStr">
        <is>
          <t>ORMONDE JAYNE BYZANCE EDP 88ML</t>
        </is>
      </c>
      <c r="C1492" s="48" t="n">
        <v>88</v>
      </c>
      <c r="D1492" s="49" t="inlineStr">
        <is>
          <t>Nicho</t>
        </is>
      </c>
      <c r="E1492" s="50" t="n">
        <v>210</v>
      </c>
      <c r="F1492" s="51">
        <f>E1492*$B$5*(1+$B$6)</f>
        <v>273000</v>
      </c>
      <c r="G1492" s="51">
        <f>F1492*$B$7</f>
        <v>682500</v>
      </c>
      <c r="H1492" s="51">
        <f>G1492-F1492</f>
        <v>409500</v>
      </c>
      <c r="I1492" s="52">
        <f>H1492/G1492</f>
        <v>0.6</v>
      </c>
      <c r="J1492" s="53" t="n"/>
      <c r="K1492" s="54" t="n"/>
    </row>
    <row r="1493">
      <c r="A1493" s="39" t="inlineStr">
        <is>
          <t>Ormonde Jayne</t>
        </is>
      </c>
      <c r="B1493" s="47" t="inlineStr">
        <is>
          <t>ORMONDE JAYNE FRANGIPANI PARFUM 88ML</t>
        </is>
      </c>
      <c r="C1493" s="48" t="n">
        <v>88</v>
      </c>
      <c r="D1493" s="49" t="inlineStr">
        <is>
          <t>Nicho</t>
        </is>
      </c>
      <c r="E1493" s="50" t="n">
        <v>210</v>
      </c>
      <c r="F1493" s="51">
        <f>E1493*$B$5*(1+$B$6)</f>
        <v>273000</v>
      </c>
      <c r="G1493" s="51">
        <f>F1493*$B$7</f>
        <v>682500</v>
      </c>
      <c r="H1493" s="51">
        <f>G1493-F1493</f>
        <v>409500</v>
      </c>
      <c r="I1493" s="52">
        <f>H1493/G1493</f>
        <v>0.6</v>
      </c>
      <c r="J1493" s="53" t="n"/>
      <c r="K1493" s="54" t="n"/>
    </row>
    <row r="1494">
      <c r="A1494" s="39" t="inlineStr">
        <is>
          <t>Ormonde Jayne</t>
        </is>
      </c>
      <c r="B1494" s="47" t="inlineStr">
        <is>
          <t>ORMONDE JAYNE SAKURA EDP 88ML UNISEX</t>
        </is>
      </c>
      <c r="C1494" s="48" t="n">
        <v>88</v>
      </c>
      <c r="D1494" s="49" t="inlineStr">
        <is>
          <t>Nicho</t>
        </is>
      </c>
      <c r="E1494" s="50" t="n">
        <v>210</v>
      </c>
      <c r="F1494" s="51">
        <f>E1494*$B$5*(1+$B$6)</f>
        <v>273000</v>
      </c>
      <c r="G1494" s="51">
        <f>F1494*$B$7</f>
        <v>682500</v>
      </c>
      <c r="H1494" s="51">
        <f>G1494-F1494</f>
        <v>409500</v>
      </c>
      <c r="I1494" s="52">
        <f>H1494/G1494</f>
        <v>0.6</v>
      </c>
      <c r="J1494" s="53" t="n"/>
      <c r="K1494" s="54" t="n"/>
    </row>
    <row r="1495">
      <c r="A1495" s="39" t="inlineStr">
        <is>
          <t>Ormonde Jayne</t>
        </is>
      </c>
      <c r="B1495" s="47" t="inlineStr">
        <is>
          <t>ORMONDE JAYNE TA'IF PARFUM 88ML</t>
        </is>
      </c>
      <c r="C1495" s="48" t="n">
        <v>88</v>
      </c>
      <c r="D1495" s="49" t="inlineStr">
        <is>
          <t>Nicho</t>
        </is>
      </c>
      <c r="E1495" s="50" t="n">
        <v>210</v>
      </c>
      <c r="F1495" s="51">
        <f>E1495*$B$5*(1+$B$6)</f>
        <v>273000</v>
      </c>
      <c r="G1495" s="51">
        <f>F1495*$B$7</f>
        <v>682500</v>
      </c>
      <c r="H1495" s="51">
        <f>G1495-F1495</f>
        <v>409500</v>
      </c>
      <c r="I1495" s="52">
        <f>H1495/G1495</f>
        <v>0.6</v>
      </c>
      <c r="J1495" s="53" t="n"/>
      <c r="K1495" s="54" t="n"/>
    </row>
    <row r="1496">
      <c r="A1496" s="39" t="inlineStr">
        <is>
          <t>Paco Rabanne</t>
        </is>
      </c>
      <c r="B1496" s="47" t="inlineStr">
        <is>
          <t>PACO RABANNE 1 ONE MILLION EDT 100ML MASC</t>
        </is>
      </c>
      <c r="C1496" s="48" t="n">
        <v>100</v>
      </c>
      <c r="D1496" s="49" t="inlineStr">
        <is>
          <t>Diseñador</t>
        </is>
      </c>
      <c r="E1496" s="50" t="n">
        <v>52</v>
      </c>
      <c r="F1496" s="51">
        <f>E1496*$B$5*(1+$B$6)</f>
        <v>67600</v>
      </c>
      <c r="G1496" s="51">
        <f>F1496*$B$7</f>
        <v>169000</v>
      </c>
      <c r="H1496" s="51">
        <f>G1496-F1496</f>
        <v>101400</v>
      </c>
      <c r="I1496" s="52">
        <f>H1496/G1496</f>
        <v>0.6</v>
      </c>
      <c r="J1496" s="53" t="n"/>
      <c r="K1496" s="54" t="n"/>
    </row>
    <row r="1497">
      <c r="A1497" s="39" t="inlineStr">
        <is>
          <t>Paco Rabanne</t>
        </is>
      </c>
      <c r="B1497" s="47" t="inlineStr">
        <is>
          <t>PACO RABANNE 1 ONE MILLION ELIXIR PARFUM INTENSE 200ML</t>
        </is>
      </c>
      <c r="C1497" s="48" t="n">
        <v>200</v>
      </c>
      <c r="D1497" s="49" t="inlineStr">
        <is>
          <t>Diseñador</t>
        </is>
      </c>
      <c r="E1497" s="50" t="n">
        <v>95</v>
      </c>
      <c r="F1497" s="51">
        <f>E1497*$B$5*(1+$B$6)</f>
        <v>123500</v>
      </c>
      <c r="G1497" s="51">
        <f>F1497*$B$7</f>
        <v>308750</v>
      </c>
      <c r="H1497" s="51">
        <f>G1497-F1497</f>
        <v>185250</v>
      </c>
      <c r="I1497" s="52">
        <f>H1497/G1497</f>
        <v>0.6</v>
      </c>
      <c r="J1497" s="53" t="n"/>
      <c r="K1497" s="54" t="n"/>
    </row>
    <row r="1498">
      <c r="A1498" s="39" t="inlineStr">
        <is>
          <t>Paco Rabanne</t>
        </is>
      </c>
      <c r="B1498" s="47" t="inlineStr">
        <is>
          <t>PACO RABANNE 1 ONE MILLION PARFUM 100ML MASC</t>
        </is>
      </c>
      <c r="C1498" s="48" t="n">
        <v>100</v>
      </c>
      <c r="D1498" s="49" t="inlineStr">
        <is>
          <t>Diseñador</t>
        </is>
      </c>
      <c r="E1498" s="50" t="n">
        <v>64.5</v>
      </c>
      <c r="F1498" s="51">
        <f>E1498*$B$5*(1+$B$6)</f>
        <v>83850</v>
      </c>
      <c r="G1498" s="51">
        <f>F1498*$B$7</f>
        <v>209625</v>
      </c>
      <c r="H1498" s="51">
        <f>G1498-F1498</f>
        <v>125775</v>
      </c>
      <c r="I1498" s="52">
        <f>H1498/G1498</f>
        <v>0.6</v>
      </c>
      <c r="J1498" s="53" t="n"/>
      <c r="K1498" s="54" t="n"/>
    </row>
    <row r="1499">
      <c r="A1499" s="39" t="inlineStr">
        <is>
          <t>Paco Rabanne</t>
        </is>
      </c>
      <c r="B1499" s="47" t="inlineStr">
        <is>
          <t>PACO RABANNE 1 ONE MILLION PARFUM 200ML MASC</t>
        </is>
      </c>
      <c r="C1499" s="48" t="n">
        <v>200</v>
      </c>
      <c r="D1499" s="49" t="inlineStr">
        <is>
          <t>Diseñador</t>
        </is>
      </c>
      <c r="E1499" s="50" t="n">
        <v>102</v>
      </c>
      <c r="F1499" s="51">
        <f>E1499*$B$5*(1+$B$6)</f>
        <v>132600</v>
      </c>
      <c r="G1499" s="51">
        <f>F1499*$B$7</f>
        <v>331500</v>
      </c>
      <c r="H1499" s="51">
        <f>G1499-F1499</f>
        <v>198900</v>
      </c>
      <c r="I1499" s="52">
        <f>H1499/G1499</f>
        <v>0.6</v>
      </c>
      <c r="J1499" s="53" t="n"/>
      <c r="K1499" s="54" t="n"/>
    </row>
    <row r="1500">
      <c r="A1500" s="39" t="inlineStr">
        <is>
          <t>Paco Rabanne</t>
        </is>
      </c>
      <c r="B1500" s="47" t="inlineStr">
        <is>
          <t>PACO RABANNE BLACK XS EDT 100ML MASC</t>
        </is>
      </c>
      <c r="C1500" s="48" t="n">
        <v>100</v>
      </c>
      <c r="D1500" s="49" t="inlineStr">
        <is>
          <t>Diseñador</t>
        </is>
      </c>
      <c r="E1500" s="50" t="n">
        <v>68</v>
      </c>
      <c r="F1500" s="51">
        <f>E1500*$B$5*(1+$B$6)</f>
        <v>88400</v>
      </c>
      <c r="G1500" s="51">
        <f>F1500*$B$7</f>
        <v>221000</v>
      </c>
      <c r="H1500" s="51">
        <f>G1500-F1500</f>
        <v>132600</v>
      </c>
      <c r="I1500" s="52">
        <f>H1500/G1500</f>
        <v>0.6</v>
      </c>
      <c r="J1500" s="53" t="n"/>
      <c r="K1500" s="54" t="n"/>
    </row>
    <row r="1501">
      <c r="A1501" s="39" t="inlineStr">
        <is>
          <t>Paco Rabanne</t>
        </is>
      </c>
      <c r="B1501" s="47" t="inlineStr">
        <is>
          <t>PACO RABANNE BLACK XS EDT 80ML FEM</t>
        </is>
      </c>
      <c r="C1501" s="48" t="n">
        <v>80</v>
      </c>
      <c r="D1501" s="49" t="inlineStr">
        <is>
          <t>Diseñador</t>
        </is>
      </c>
      <c r="E1501" s="50" t="n">
        <v>63</v>
      </c>
      <c r="F1501" s="51">
        <f>E1501*$B$5*(1+$B$6)</f>
        <v>81900</v>
      </c>
      <c r="G1501" s="51">
        <f>F1501*$B$7</f>
        <v>204750</v>
      </c>
      <c r="H1501" s="51">
        <f>G1501-F1501</f>
        <v>122850</v>
      </c>
      <c r="I1501" s="52">
        <f>H1501/G1501</f>
        <v>0.6</v>
      </c>
      <c r="J1501" s="53" t="n"/>
      <c r="K1501" s="54" t="n"/>
    </row>
    <row r="1502">
      <c r="A1502" s="39" t="inlineStr">
        <is>
          <t>Paco Rabanne</t>
        </is>
      </c>
      <c r="B1502" s="47" t="inlineStr">
        <is>
          <t>PACO RABANNE CALANDRE EDT 100ML</t>
        </is>
      </c>
      <c r="C1502" s="48" t="n">
        <v>100</v>
      </c>
      <c r="D1502" s="49" t="inlineStr">
        <is>
          <t>Diseñador</t>
        </is>
      </c>
      <c r="E1502" s="50" t="n">
        <v>46</v>
      </c>
      <c r="F1502" s="51">
        <f>E1502*$B$5*(1+$B$6)</f>
        <v>59800</v>
      </c>
      <c r="G1502" s="51">
        <f>F1502*$B$7</f>
        <v>149500</v>
      </c>
      <c r="H1502" s="51">
        <f>G1502-F1502</f>
        <v>89700</v>
      </c>
      <c r="I1502" s="52">
        <f>H1502/G1502</f>
        <v>0.6</v>
      </c>
      <c r="J1502" s="53" t="n"/>
      <c r="K1502" s="54" t="n"/>
    </row>
    <row r="1503">
      <c r="A1503" s="39" t="inlineStr">
        <is>
          <t>Paco Rabanne</t>
        </is>
      </c>
      <c r="B1503" s="47" t="inlineStr">
        <is>
          <t>PACO RABANNE DANGEROUS ME EDP 62ML</t>
        </is>
      </c>
      <c r="C1503" s="48" t="n">
        <v>62</v>
      </c>
      <c r="D1503" s="49" t="inlineStr">
        <is>
          <t>Diseñador</t>
        </is>
      </c>
      <c r="E1503" s="50" t="n">
        <v>48</v>
      </c>
      <c r="F1503" s="51">
        <f>E1503*$B$5*(1+$B$6)</f>
        <v>62400</v>
      </c>
      <c r="G1503" s="51">
        <f>F1503*$B$7</f>
        <v>156000</v>
      </c>
      <c r="H1503" s="51">
        <f>G1503-F1503</f>
        <v>93600</v>
      </c>
      <c r="I1503" s="52">
        <f>H1503/G1503</f>
        <v>0.6</v>
      </c>
      <c r="J1503" s="53" t="n"/>
      <c r="K1503" s="54" t="n"/>
    </row>
    <row r="1504">
      <c r="A1504" s="39" t="inlineStr">
        <is>
          <t>Paco Rabanne</t>
        </is>
      </c>
      <c r="B1504" s="47" t="inlineStr">
        <is>
          <t>PACO RABANNE FAME EDP 80ML FEM</t>
        </is>
      </c>
      <c r="C1504" s="48" t="n">
        <v>80</v>
      </c>
      <c r="D1504" s="49" t="inlineStr">
        <is>
          <t>Diseñador</t>
        </is>
      </c>
      <c r="E1504" s="50" t="n">
        <v>74</v>
      </c>
      <c r="F1504" s="51">
        <f>E1504*$B$5*(1+$B$6)</f>
        <v>96200</v>
      </c>
      <c r="G1504" s="51">
        <f>F1504*$B$7</f>
        <v>240500</v>
      </c>
      <c r="H1504" s="51">
        <f>G1504-F1504</f>
        <v>144300</v>
      </c>
      <c r="I1504" s="52">
        <f>H1504/G1504</f>
        <v>0.6</v>
      </c>
      <c r="J1504" s="53" t="n"/>
      <c r="K1504" s="54" t="n"/>
    </row>
    <row r="1505">
      <c r="A1505" s="39" t="inlineStr">
        <is>
          <t>Paco Rabanne</t>
        </is>
      </c>
      <c r="B1505" s="47" t="inlineStr">
        <is>
          <t>PACO RABANNE FAME IN LOVE PARFUM ELIXIR 80ML FEM</t>
        </is>
      </c>
      <c r="C1505" s="48" t="n">
        <v>80</v>
      </c>
      <c r="D1505" s="49" t="inlineStr">
        <is>
          <t>Diseñador</t>
        </is>
      </c>
      <c r="E1505" s="50" t="n">
        <v>79</v>
      </c>
      <c r="F1505" s="51">
        <f>E1505*$B$5*(1+$B$6)</f>
        <v>102700</v>
      </c>
      <c r="G1505" s="51">
        <f>F1505*$B$7</f>
        <v>256750</v>
      </c>
      <c r="H1505" s="51">
        <f>G1505-F1505</f>
        <v>154050</v>
      </c>
      <c r="I1505" s="52">
        <f>H1505/G1505</f>
        <v>0.6</v>
      </c>
      <c r="J1505" s="53" t="n"/>
      <c r="K1505" s="54" t="n"/>
    </row>
    <row r="1506">
      <c r="A1506" s="39" t="inlineStr">
        <is>
          <t>Paco Rabanne</t>
        </is>
      </c>
      <c r="B1506" s="47" t="inlineStr">
        <is>
          <t>PACO RABANNE FAME INTENSE 80ML FEM</t>
        </is>
      </c>
      <c r="C1506" s="48" t="n">
        <v>80</v>
      </c>
      <c r="D1506" s="49" t="inlineStr">
        <is>
          <t>Diseñador</t>
        </is>
      </c>
      <c r="E1506" s="50" t="n">
        <v>74</v>
      </c>
      <c r="F1506" s="51">
        <f>E1506*$B$5*(1+$B$6)</f>
        <v>96200</v>
      </c>
      <c r="G1506" s="51">
        <f>F1506*$B$7</f>
        <v>240500</v>
      </c>
      <c r="H1506" s="51">
        <f>G1506-F1506</f>
        <v>144300</v>
      </c>
      <c r="I1506" s="52">
        <f>H1506/G1506</f>
        <v>0.6</v>
      </c>
      <c r="J1506" s="53" t="n"/>
      <c r="K1506" s="54" t="n"/>
    </row>
    <row r="1507">
      <c r="A1507" s="39" t="inlineStr">
        <is>
          <t>Paco Rabanne</t>
        </is>
      </c>
      <c r="B1507" s="47" t="inlineStr">
        <is>
          <t>PACO RABANNE FAME PARFUM 80ML FEM</t>
        </is>
      </c>
      <c r="C1507" s="48" t="n">
        <v>80</v>
      </c>
      <c r="D1507" s="49" t="inlineStr">
        <is>
          <t>Diseñador</t>
        </is>
      </c>
      <c r="E1507" s="50" t="n">
        <v>80</v>
      </c>
      <c r="F1507" s="51">
        <f>E1507*$B$5*(1+$B$6)</f>
        <v>104000</v>
      </c>
      <c r="G1507" s="51">
        <f>F1507*$B$7</f>
        <v>260000</v>
      </c>
      <c r="H1507" s="51">
        <f>G1507-F1507</f>
        <v>156000</v>
      </c>
      <c r="I1507" s="52">
        <f>H1507/G1507</f>
        <v>0.6</v>
      </c>
      <c r="J1507" s="53" t="n"/>
      <c r="K1507" s="54" t="n"/>
    </row>
    <row r="1508">
      <c r="A1508" s="39" t="inlineStr">
        <is>
          <t>Paco Rabanne</t>
        </is>
      </c>
      <c r="B1508" s="47" t="inlineStr">
        <is>
          <t>PACO RABANNE INVICTUS AQUA EDT 100ML MASC</t>
        </is>
      </c>
      <c r="C1508" s="48" t="n">
        <v>100</v>
      </c>
      <c r="D1508" s="49" t="inlineStr">
        <is>
          <t>Diseñador</t>
        </is>
      </c>
      <c r="E1508" s="50" t="n">
        <v>90</v>
      </c>
      <c r="F1508" s="51">
        <f>E1508*$B$5*(1+$B$6)</f>
        <v>117000</v>
      </c>
      <c r="G1508" s="51">
        <f>F1508*$B$7</f>
        <v>292500</v>
      </c>
      <c r="H1508" s="51">
        <f>G1508-F1508</f>
        <v>175500</v>
      </c>
      <c r="I1508" s="52">
        <f>H1508/G1508</f>
        <v>0.6</v>
      </c>
      <c r="J1508" s="53" t="n"/>
      <c r="K1508" s="54" t="n"/>
    </row>
    <row r="1509">
      <c r="A1509" s="39" t="inlineStr">
        <is>
          <t>Paco Rabanne</t>
        </is>
      </c>
      <c r="B1509" s="47" t="inlineStr">
        <is>
          <t>PACO RABANNE INVICTUS EDT 100ML MASC</t>
        </is>
      </c>
      <c r="C1509" s="48" t="n">
        <v>100</v>
      </c>
      <c r="D1509" s="49" t="inlineStr">
        <is>
          <t>Diseñador</t>
        </is>
      </c>
      <c r="E1509" s="50" t="n">
        <v>50</v>
      </c>
      <c r="F1509" s="51">
        <f>E1509*$B$5*(1+$B$6)</f>
        <v>65000</v>
      </c>
      <c r="G1509" s="51">
        <f>F1509*$B$7</f>
        <v>162500</v>
      </c>
      <c r="H1509" s="51">
        <f>G1509-F1509</f>
        <v>97500</v>
      </c>
      <c r="I1509" s="52">
        <f>H1509/G1509</f>
        <v>0.6</v>
      </c>
      <c r="J1509" s="53" t="n"/>
      <c r="K1509" s="54" t="n"/>
    </row>
    <row r="1510">
      <c r="A1510" s="39" t="inlineStr">
        <is>
          <t>Paco Rabanne</t>
        </is>
      </c>
      <c r="B1510" s="47" t="inlineStr">
        <is>
          <t>PACO RABANNE INVICTUS EDT 200ML MASC</t>
        </is>
      </c>
      <c r="C1510" s="48" t="n">
        <v>200</v>
      </c>
      <c r="D1510" s="49" t="inlineStr">
        <is>
          <t>Diseñador</t>
        </is>
      </c>
      <c r="E1510" s="50" t="n">
        <v>79</v>
      </c>
      <c r="F1510" s="51">
        <f>E1510*$B$5*(1+$B$6)</f>
        <v>102700</v>
      </c>
      <c r="G1510" s="51">
        <f>F1510*$B$7</f>
        <v>256750</v>
      </c>
      <c r="H1510" s="51">
        <f>G1510-F1510</f>
        <v>154050</v>
      </c>
      <c r="I1510" s="52">
        <f>H1510/G1510</f>
        <v>0.6</v>
      </c>
      <c r="J1510" s="53" t="n"/>
      <c r="K1510" s="54" t="n"/>
    </row>
    <row r="1511">
      <c r="A1511" s="39" t="inlineStr">
        <is>
          <t>Paco Rabanne</t>
        </is>
      </c>
      <c r="B1511" s="47" t="inlineStr">
        <is>
          <t>PACO RABANNE INVICTUS PARFUM 100ML MASC</t>
        </is>
      </c>
      <c r="C1511" s="48" t="n">
        <v>100</v>
      </c>
      <c r="D1511" s="49" t="inlineStr">
        <is>
          <t>Diseñador</t>
        </is>
      </c>
      <c r="E1511" s="50" t="n">
        <v>69</v>
      </c>
      <c r="F1511" s="51">
        <f>E1511*$B$5*(1+$B$6)</f>
        <v>89700</v>
      </c>
      <c r="G1511" s="51">
        <f>F1511*$B$7</f>
        <v>224250</v>
      </c>
      <c r="H1511" s="51">
        <f>G1511-F1511</f>
        <v>134550</v>
      </c>
      <c r="I1511" s="52">
        <f>H1511/G1511</f>
        <v>0.6</v>
      </c>
      <c r="J1511" s="53" t="n"/>
      <c r="K1511" s="54" t="n"/>
    </row>
    <row r="1512">
      <c r="A1512" s="39" t="inlineStr">
        <is>
          <t>Paco Rabanne</t>
        </is>
      </c>
      <c r="B1512" s="47" t="inlineStr">
        <is>
          <t>PACO RABANNE INVICTUS PARFUM 200ML MASC</t>
        </is>
      </c>
      <c r="C1512" s="48" t="n">
        <v>200</v>
      </c>
      <c r="D1512" s="49" t="inlineStr">
        <is>
          <t>Diseñador</t>
        </is>
      </c>
      <c r="E1512" s="50" t="n">
        <v>99</v>
      </c>
      <c r="F1512" s="51">
        <f>E1512*$B$5*(1+$B$6)</f>
        <v>128700</v>
      </c>
      <c r="G1512" s="51">
        <f>F1512*$B$7</f>
        <v>321750</v>
      </c>
      <c r="H1512" s="51">
        <f>G1512-F1512</f>
        <v>193050</v>
      </c>
      <c r="I1512" s="52">
        <f>H1512/G1512</f>
        <v>0.6</v>
      </c>
      <c r="J1512" s="53" t="n"/>
      <c r="K1512" s="54" t="n"/>
    </row>
    <row r="1513">
      <c r="A1513" s="39" t="inlineStr">
        <is>
          <t>Paco Rabanne</t>
        </is>
      </c>
      <c r="B1513" s="47" t="inlineStr">
        <is>
          <t>PACO RABANNE INVICTUS PLATINUM EDP 100ML</t>
        </is>
      </c>
      <c r="C1513" s="48" t="n">
        <v>100</v>
      </c>
      <c r="D1513" s="49" t="inlineStr">
        <is>
          <t>Diseñador</t>
        </is>
      </c>
      <c r="E1513" s="50" t="n">
        <v>85.5</v>
      </c>
      <c r="F1513" s="51">
        <f>E1513*$B$5*(1+$B$6)</f>
        <v>111150</v>
      </c>
      <c r="G1513" s="51">
        <f>F1513*$B$7</f>
        <v>277875</v>
      </c>
      <c r="H1513" s="51">
        <f>G1513-F1513</f>
        <v>166725</v>
      </c>
      <c r="I1513" s="52">
        <f>H1513/G1513</f>
        <v>0.6</v>
      </c>
      <c r="J1513" s="53" t="n"/>
      <c r="K1513" s="54" t="n"/>
    </row>
    <row r="1514">
      <c r="A1514" s="39" t="inlineStr">
        <is>
          <t>Paco Rabanne</t>
        </is>
      </c>
      <c r="B1514" s="47" t="inlineStr">
        <is>
          <t>PACO RABANNE INVICTUS VICTORY ABSOLU INTENSE PARFUM 100ML</t>
        </is>
      </c>
      <c r="C1514" s="48" t="n">
        <v>100</v>
      </c>
      <c r="D1514" s="49" t="inlineStr">
        <is>
          <t>Diseñador</t>
        </is>
      </c>
      <c r="E1514" s="50" t="n">
        <v>74</v>
      </c>
      <c r="F1514" s="51">
        <f>E1514*$B$5*(1+$B$6)</f>
        <v>96200</v>
      </c>
      <c r="G1514" s="51">
        <f>F1514*$B$7</f>
        <v>240500</v>
      </c>
      <c r="H1514" s="51">
        <f>G1514-F1514</f>
        <v>144300</v>
      </c>
      <c r="I1514" s="52">
        <f>H1514/G1514</f>
        <v>0.6</v>
      </c>
      <c r="J1514" s="53" t="n"/>
      <c r="K1514" s="54" t="n"/>
    </row>
    <row r="1515">
      <c r="A1515" s="39" t="inlineStr">
        <is>
          <t>Paco Rabanne</t>
        </is>
      </c>
      <c r="B1515" s="47" t="inlineStr">
        <is>
          <t>PACO RABANNE INVICTUS VICTORY ABSOLU INTENSE PARFUM 200ML</t>
        </is>
      </c>
      <c r="C1515" s="48" t="n">
        <v>200</v>
      </c>
      <c r="D1515" s="49" t="inlineStr">
        <is>
          <t>Diseñador</t>
        </is>
      </c>
      <c r="E1515" s="50" t="n">
        <v>103.5</v>
      </c>
      <c r="F1515" s="51">
        <f>E1515*$B$5*(1+$B$6)</f>
        <v>134550</v>
      </c>
      <c r="G1515" s="51">
        <f>F1515*$B$7</f>
        <v>336375</v>
      </c>
      <c r="H1515" s="51">
        <f>G1515-F1515</f>
        <v>201825</v>
      </c>
      <c r="I1515" s="52">
        <f>H1515/G1515</f>
        <v>0.6</v>
      </c>
      <c r="J1515" s="53" t="n"/>
      <c r="K1515" s="54" t="n"/>
    </row>
    <row r="1516">
      <c r="A1516" s="39" t="inlineStr">
        <is>
          <t>Paco Rabanne</t>
        </is>
      </c>
      <c r="B1516" s="47" t="inlineStr">
        <is>
          <t>PACO RABANNE INVICTUS VICTORY ELIXIR PARFUM INTENSE 100ML</t>
        </is>
      </c>
      <c r="C1516" s="48" t="n">
        <v>100</v>
      </c>
      <c r="D1516" s="49" t="inlineStr">
        <is>
          <t>Diseñador</t>
        </is>
      </c>
      <c r="E1516" s="50" t="n">
        <v>86</v>
      </c>
      <c r="F1516" s="51">
        <f>E1516*$B$5*(1+$B$6)</f>
        <v>111800</v>
      </c>
      <c r="G1516" s="51">
        <f>F1516*$B$7</f>
        <v>279500</v>
      </c>
      <c r="H1516" s="51">
        <f>G1516-F1516</f>
        <v>167700</v>
      </c>
      <c r="I1516" s="52">
        <f>H1516/G1516</f>
        <v>0.6</v>
      </c>
      <c r="J1516" s="53" t="n"/>
      <c r="K1516" s="54" t="n"/>
    </row>
    <row r="1517">
      <c r="A1517" s="39" t="inlineStr">
        <is>
          <t>Paco Rabanne</t>
        </is>
      </c>
      <c r="B1517" s="47" t="inlineStr">
        <is>
          <t>PACO RABANNE INVICTUS VICTORY EXTREME EDP 200ML</t>
        </is>
      </c>
      <c r="C1517" s="48" t="n">
        <v>200</v>
      </c>
      <c r="D1517" s="49" t="inlineStr">
        <is>
          <t>Diseñador</t>
        </is>
      </c>
      <c r="E1517" s="50" t="n">
        <v>115</v>
      </c>
      <c r="F1517" s="51">
        <f>E1517*$B$5*(1+$B$6)</f>
        <v>149500</v>
      </c>
      <c r="G1517" s="51">
        <f>F1517*$B$7</f>
        <v>373750</v>
      </c>
      <c r="H1517" s="51">
        <f>G1517-F1517</f>
        <v>224250</v>
      </c>
      <c r="I1517" s="52">
        <f>H1517/G1517</f>
        <v>0.6</v>
      </c>
      <c r="J1517" s="53" t="n"/>
      <c r="K1517" s="54" t="n"/>
    </row>
    <row r="1518">
      <c r="A1518" s="39" t="inlineStr">
        <is>
          <t>Paco Rabanne</t>
        </is>
      </c>
      <c r="B1518" s="47" t="inlineStr">
        <is>
          <t>PACO RABANNE LADY MILLION EDP 80ML</t>
        </is>
      </c>
      <c r="C1518" s="48" t="n">
        <v>80</v>
      </c>
      <c r="D1518" s="49" t="inlineStr">
        <is>
          <t>Diseñador</t>
        </is>
      </c>
      <c r="E1518" s="50" t="n">
        <v>65</v>
      </c>
      <c r="F1518" s="51">
        <f>E1518*$B$5*(1+$B$6)</f>
        <v>84500</v>
      </c>
      <c r="G1518" s="51">
        <f>F1518*$B$7</f>
        <v>211250</v>
      </c>
      <c r="H1518" s="51">
        <f>G1518-F1518</f>
        <v>126750</v>
      </c>
      <c r="I1518" s="52">
        <f>H1518/G1518</f>
        <v>0.6</v>
      </c>
      <c r="J1518" s="53" t="n"/>
      <c r="K1518" s="54" t="n"/>
    </row>
    <row r="1519">
      <c r="A1519" s="39" t="inlineStr">
        <is>
          <t>Paco Rabanne</t>
        </is>
      </c>
      <c r="B1519" s="47" t="inlineStr">
        <is>
          <t>PACO RABANNE LADY MILLION FABULOUS EDP INTENSE 80ML</t>
        </is>
      </c>
      <c r="C1519" s="48" t="n">
        <v>80</v>
      </c>
      <c r="D1519" s="49" t="inlineStr">
        <is>
          <t>Diseñador</t>
        </is>
      </c>
      <c r="E1519" s="50" t="n">
        <v>65</v>
      </c>
      <c r="F1519" s="51">
        <f>E1519*$B$5*(1+$B$6)</f>
        <v>84500</v>
      </c>
      <c r="G1519" s="51">
        <f>F1519*$B$7</f>
        <v>211250</v>
      </c>
      <c r="H1519" s="51">
        <f>G1519-F1519</f>
        <v>126750</v>
      </c>
      <c r="I1519" s="52">
        <f>H1519/G1519</f>
        <v>0.6</v>
      </c>
      <c r="J1519" s="53" t="n"/>
      <c r="K1519" s="54" t="n"/>
    </row>
    <row r="1520">
      <c r="A1520" s="39" t="inlineStr">
        <is>
          <t>Paco Rabanne</t>
        </is>
      </c>
      <c r="B1520" s="47" t="inlineStr">
        <is>
          <t>PACO RABANNE LADY MILLION LUCKY EDP 80ML - CX AMASSADA</t>
        </is>
      </c>
      <c r="C1520" s="48" t="n">
        <v>80</v>
      </c>
      <c r="D1520" s="49" t="inlineStr">
        <is>
          <t>Diseñador</t>
        </is>
      </c>
      <c r="E1520" s="50" t="n">
        <v>67</v>
      </c>
      <c r="F1520" s="51">
        <f>E1520*$B$5*(1+$B$6)</f>
        <v>87100</v>
      </c>
      <c r="G1520" s="51">
        <f>F1520*$B$7</f>
        <v>217750</v>
      </c>
      <c r="H1520" s="51">
        <f>G1520-F1520</f>
        <v>130650</v>
      </c>
      <c r="I1520" s="52">
        <f>H1520/G1520</f>
        <v>0.6</v>
      </c>
      <c r="J1520" s="53" t="n"/>
      <c r="K1520" s="54" t="n"/>
    </row>
    <row r="1521">
      <c r="A1521" s="39" t="inlineStr">
        <is>
          <t>Paco Rabanne</t>
        </is>
      </c>
      <c r="B1521" s="47" t="inlineStr">
        <is>
          <t>PACO RABANNE LADY MILLION ROYAL EDP 80ML</t>
        </is>
      </c>
      <c r="C1521" s="48" t="n">
        <v>80</v>
      </c>
      <c r="D1521" s="49" t="inlineStr">
        <is>
          <t>Diseñador</t>
        </is>
      </c>
      <c r="E1521" s="50" t="n">
        <v>57.99</v>
      </c>
      <c r="F1521" s="51">
        <f>E1521*$B$5*(1+$B$6)</f>
        <v>75387</v>
      </c>
      <c r="G1521" s="51">
        <f>F1521*$B$7</f>
        <v>188467.5</v>
      </c>
      <c r="H1521" s="51">
        <f>G1521-F1521</f>
        <v>113080.5</v>
      </c>
      <c r="I1521" s="52">
        <f>H1521/G1521</f>
        <v>0.6</v>
      </c>
      <c r="J1521" s="53" t="n"/>
      <c r="K1521" s="54" t="n"/>
    </row>
    <row r="1522">
      <c r="A1522" s="39" t="inlineStr">
        <is>
          <t>Paco Rabanne</t>
        </is>
      </c>
      <c r="B1522" s="47" t="inlineStr">
        <is>
          <t>PACO RABANNE MILLION GOLD ELIXIR PARFUM 100ML</t>
        </is>
      </c>
      <c r="C1522" s="48" t="n">
        <v>100</v>
      </c>
      <c r="D1522" s="49" t="inlineStr">
        <is>
          <t>Diseñador</t>
        </is>
      </c>
      <c r="E1522" s="50" t="n">
        <v>69</v>
      </c>
      <c r="F1522" s="51">
        <f>E1522*$B$5*(1+$B$6)</f>
        <v>89700</v>
      </c>
      <c r="G1522" s="51">
        <f>F1522*$B$7</f>
        <v>224250</v>
      </c>
      <c r="H1522" s="51">
        <f>G1522-F1522</f>
        <v>134550</v>
      </c>
      <c r="I1522" s="52">
        <f>H1522/G1522</f>
        <v>0.6</v>
      </c>
      <c r="J1522" s="53" t="n"/>
      <c r="K1522" s="54" t="n"/>
    </row>
    <row r="1523">
      <c r="A1523" s="39" t="inlineStr">
        <is>
          <t>Paco Rabanne</t>
        </is>
      </c>
      <c r="B1523" s="47" t="inlineStr">
        <is>
          <t>PACO RABANNE MILLION GOLD ELIXIR PARFUM INTENSE 200ML MASC</t>
        </is>
      </c>
      <c r="C1523" s="48" t="n">
        <v>200</v>
      </c>
      <c r="D1523" s="49" t="inlineStr">
        <is>
          <t>Diseñador</t>
        </is>
      </c>
      <c r="E1523" s="50" t="n">
        <v>89.5</v>
      </c>
      <c r="F1523" s="51">
        <f>E1523*$B$5*(1+$B$6)</f>
        <v>116350</v>
      </c>
      <c r="G1523" s="51">
        <f>F1523*$B$7</f>
        <v>290875</v>
      </c>
      <c r="H1523" s="51">
        <f>G1523-F1523</f>
        <v>174525</v>
      </c>
      <c r="I1523" s="52">
        <f>H1523/G1523</f>
        <v>0.6</v>
      </c>
      <c r="J1523" s="53" t="n"/>
      <c r="K1523" s="54" t="n"/>
    </row>
    <row r="1524">
      <c r="A1524" s="39" t="inlineStr">
        <is>
          <t>Paco Rabanne</t>
        </is>
      </c>
      <c r="B1524" s="47" t="inlineStr">
        <is>
          <t>PACO RABANNE MILLION GOLD FOR HER EDP 90ML FEM</t>
        </is>
      </c>
      <c r="C1524" s="48" t="n">
        <v>90</v>
      </c>
      <c r="D1524" s="49" t="inlineStr">
        <is>
          <t>Diseñador</t>
        </is>
      </c>
      <c r="E1524" s="50" t="n">
        <v>80</v>
      </c>
      <c r="F1524" s="51">
        <f>E1524*$B$5*(1+$B$6)</f>
        <v>104000</v>
      </c>
      <c r="G1524" s="51">
        <f>F1524*$B$7</f>
        <v>260000</v>
      </c>
      <c r="H1524" s="51">
        <f>G1524-F1524</f>
        <v>156000</v>
      </c>
      <c r="I1524" s="52">
        <f>H1524/G1524</f>
        <v>0.6</v>
      </c>
      <c r="J1524" s="53" t="n"/>
      <c r="K1524" s="54" t="n"/>
    </row>
    <row r="1525">
      <c r="A1525" s="39" t="inlineStr">
        <is>
          <t>Paco Rabanne</t>
        </is>
      </c>
      <c r="B1525" s="47" t="inlineStr">
        <is>
          <t>PACO RABANNE MILLION GOLD FOR HER PARFUM 90ML FEM</t>
        </is>
      </c>
      <c r="C1525" s="48" t="n">
        <v>90</v>
      </c>
      <c r="D1525" s="49" t="inlineStr">
        <is>
          <t>Diseñador</t>
        </is>
      </c>
      <c r="E1525" s="50" t="n">
        <v>98.5</v>
      </c>
      <c r="F1525" s="51">
        <f>E1525*$B$5*(1+$B$6)</f>
        <v>128050</v>
      </c>
      <c r="G1525" s="51">
        <f>F1525*$B$7</f>
        <v>320125</v>
      </c>
      <c r="H1525" s="51">
        <f>G1525-F1525</f>
        <v>192075</v>
      </c>
      <c r="I1525" s="52">
        <f>H1525/G1525</f>
        <v>0.6</v>
      </c>
      <c r="J1525" s="53" t="n"/>
      <c r="K1525" s="54" t="n"/>
    </row>
    <row r="1526">
      <c r="A1526" s="39" t="inlineStr">
        <is>
          <t>Paco Rabanne</t>
        </is>
      </c>
      <c r="B1526" s="47" t="inlineStr">
        <is>
          <t>PACO RABANNE MILLION GOLD INTENSE EDP 100ML MASC</t>
        </is>
      </c>
      <c r="C1526" s="48" t="n">
        <v>100</v>
      </c>
      <c r="D1526" s="49" t="inlineStr">
        <is>
          <t>Diseñador</t>
        </is>
      </c>
      <c r="E1526" s="50" t="n">
        <v>58</v>
      </c>
      <c r="F1526" s="51">
        <f>E1526*$B$5*(1+$B$6)</f>
        <v>75400</v>
      </c>
      <c r="G1526" s="51">
        <f>F1526*$B$7</f>
        <v>188500</v>
      </c>
      <c r="H1526" s="51">
        <f>G1526-F1526</f>
        <v>113100</v>
      </c>
      <c r="I1526" s="52">
        <f>H1526/G1526</f>
        <v>0.6</v>
      </c>
      <c r="J1526" s="53" t="n"/>
      <c r="K1526" s="54" t="n"/>
    </row>
    <row r="1527">
      <c r="A1527" s="39" t="inlineStr">
        <is>
          <t>Paco Rabanne</t>
        </is>
      </c>
      <c r="B1527" s="47" t="inlineStr">
        <is>
          <t>PACO RABANNE MILLION GOLD PURE DIAMONDS EDP 90ML FEM</t>
        </is>
      </c>
      <c r="C1527" s="48" t="n">
        <v>90</v>
      </c>
      <c r="D1527" s="49" t="inlineStr">
        <is>
          <t>Diseñador</t>
        </is>
      </c>
      <c r="E1527" s="50" t="n">
        <v>105</v>
      </c>
      <c r="F1527" s="51">
        <f>E1527*$B$5*(1+$B$6)</f>
        <v>136500</v>
      </c>
      <c r="G1527" s="51">
        <f>F1527*$B$7</f>
        <v>341250</v>
      </c>
      <c r="H1527" s="51">
        <f>G1527-F1527</f>
        <v>204750</v>
      </c>
      <c r="I1527" s="52">
        <f>H1527/G1527</f>
        <v>0.6</v>
      </c>
      <c r="J1527" s="53" t="n"/>
      <c r="K1527" s="54" t="n"/>
    </row>
    <row r="1528">
      <c r="A1528" s="39" t="inlineStr">
        <is>
          <t>Paco Rabanne</t>
        </is>
      </c>
      <c r="B1528" s="47" t="inlineStr">
        <is>
          <t>PACO RABANNE OLYMPEA ABSOLU PARFUM INTENSE 80ML FEM</t>
        </is>
      </c>
      <c r="C1528" s="48" t="n">
        <v>80</v>
      </c>
      <c r="D1528" s="49" t="inlineStr">
        <is>
          <t>Diseñador</t>
        </is>
      </c>
      <c r="E1528" s="50" t="n">
        <v>67.5</v>
      </c>
      <c r="F1528" s="51">
        <f>E1528*$B$5*(1+$B$6)</f>
        <v>87750</v>
      </c>
      <c r="G1528" s="51">
        <f>F1528*$B$7</f>
        <v>219375</v>
      </c>
      <c r="H1528" s="51">
        <f>G1528-F1528</f>
        <v>131625</v>
      </c>
      <c r="I1528" s="52">
        <f>H1528/G1528</f>
        <v>0.6</v>
      </c>
      <c r="J1528" s="53" t="n"/>
      <c r="K1528" s="54" t="n"/>
    </row>
    <row r="1529">
      <c r="A1529" s="39" t="inlineStr">
        <is>
          <t>Paco Rabanne</t>
        </is>
      </c>
      <c r="B1529" s="47" t="inlineStr">
        <is>
          <t>PACO RABANNE OLYMPEA FLORA INTENSE EDP 80ML FEM</t>
        </is>
      </c>
      <c r="C1529" s="48" t="n">
        <v>80</v>
      </c>
      <c r="D1529" s="49" t="inlineStr">
        <is>
          <t>Diseñador</t>
        </is>
      </c>
      <c r="E1529" s="50" t="n">
        <v>54</v>
      </c>
      <c r="F1529" s="51">
        <f>E1529*$B$5*(1+$B$6)</f>
        <v>70200</v>
      </c>
      <c r="G1529" s="51">
        <f>F1529*$B$7</f>
        <v>175500</v>
      </c>
      <c r="H1529" s="51">
        <f>G1529-F1529</f>
        <v>105300</v>
      </c>
      <c r="I1529" s="52">
        <f>H1529/G1529</f>
        <v>0.6</v>
      </c>
      <c r="J1529" s="53" t="n"/>
      <c r="K1529" s="54" t="n"/>
    </row>
    <row r="1530">
      <c r="A1530" s="39" t="inlineStr">
        <is>
          <t>Paco Rabanne</t>
        </is>
      </c>
      <c r="B1530" s="47" t="inlineStr">
        <is>
          <t>PACO RABANNE OLYMPEA LOTION 200ML FEM</t>
        </is>
      </c>
      <c r="C1530" s="48" t="n">
        <v>200</v>
      </c>
      <c r="D1530" s="49" t="inlineStr">
        <is>
          <t>Diseñador</t>
        </is>
      </c>
      <c r="E1530" s="50" t="n">
        <v>28</v>
      </c>
      <c r="F1530" s="51">
        <f>E1530*$B$5*(1+$B$6)</f>
        <v>36400</v>
      </c>
      <c r="G1530" s="51">
        <f>F1530*$B$7</f>
        <v>91000</v>
      </c>
      <c r="H1530" s="51">
        <f>G1530-F1530</f>
        <v>54600</v>
      </c>
      <c r="I1530" s="52">
        <f>H1530/G1530</f>
        <v>0.6</v>
      </c>
      <c r="J1530" s="53" t="n"/>
      <c r="K1530" s="54" t="n"/>
    </row>
    <row r="1531">
      <c r="A1531" s="39" t="inlineStr">
        <is>
          <t>Paco Rabanne</t>
        </is>
      </c>
      <c r="B1531" s="47" t="inlineStr">
        <is>
          <t>PACO RABANNE OLYMPEA PARFUM 80ML FEM</t>
        </is>
      </c>
      <c r="C1531" s="48" t="n">
        <v>80</v>
      </c>
      <c r="D1531" s="49" t="inlineStr">
        <is>
          <t>Diseñador</t>
        </is>
      </c>
      <c r="E1531" s="50" t="n">
        <v>64.5</v>
      </c>
      <c r="F1531" s="51">
        <f>E1531*$B$5*(1+$B$6)</f>
        <v>83850</v>
      </c>
      <c r="G1531" s="51">
        <f>F1531*$B$7</f>
        <v>209625</v>
      </c>
      <c r="H1531" s="51">
        <f>G1531-F1531</f>
        <v>125775</v>
      </c>
      <c r="I1531" s="52">
        <f>H1531/G1531</f>
        <v>0.6</v>
      </c>
      <c r="J1531" s="53" t="n"/>
      <c r="K1531" s="54" t="n"/>
    </row>
    <row r="1532">
      <c r="A1532" s="39" t="inlineStr">
        <is>
          <t>Paco Rabanne</t>
        </is>
      </c>
      <c r="B1532" s="47" t="inlineStr">
        <is>
          <t>PACO RABANNE PACO DE PACO 100ML MASC</t>
        </is>
      </c>
      <c r="C1532" s="48" t="n">
        <v>100</v>
      </c>
      <c r="D1532" s="49" t="inlineStr">
        <is>
          <t>Diseñador</t>
        </is>
      </c>
      <c r="E1532" s="50" t="n">
        <v>30</v>
      </c>
      <c r="F1532" s="51">
        <f>E1532*$B$5*(1+$B$6)</f>
        <v>39000</v>
      </c>
      <c r="G1532" s="51">
        <f>F1532*$B$7</f>
        <v>97500</v>
      </c>
      <c r="H1532" s="51">
        <f>G1532-F1532</f>
        <v>58500</v>
      </c>
      <c r="I1532" s="52">
        <f>H1532/G1532</f>
        <v>0.6</v>
      </c>
      <c r="J1532" s="53" t="n"/>
      <c r="K1532" s="54" t="n"/>
    </row>
    <row r="1533">
      <c r="A1533" s="39" t="inlineStr">
        <is>
          <t>Paco Rabanne</t>
        </is>
      </c>
      <c r="B1533" s="47" t="inlineStr">
        <is>
          <t>PACO RABANNE PACO ROSE EDT 100ML FEM</t>
        </is>
      </c>
      <c r="C1533" s="48" t="n">
        <v>100</v>
      </c>
      <c r="D1533" s="49" t="inlineStr">
        <is>
          <t>Diseñador</t>
        </is>
      </c>
      <c r="E1533" s="50" t="n">
        <v>30</v>
      </c>
      <c r="F1533" s="51">
        <f>E1533*$B$5*(1+$B$6)</f>
        <v>39000</v>
      </c>
      <c r="G1533" s="51">
        <f>F1533*$B$7</f>
        <v>97500</v>
      </c>
      <c r="H1533" s="51">
        <f>G1533-F1533</f>
        <v>58500</v>
      </c>
      <c r="I1533" s="52">
        <f>H1533/G1533</f>
        <v>0.6</v>
      </c>
      <c r="J1533" s="53" t="n"/>
      <c r="K1533" s="54" t="n"/>
    </row>
    <row r="1534">
      <c r="A1534" s="39" t="inlineStr">
        <is>
          <t>Paco Rabanne</t>
        </is>
      </c>
      <c r="B1534" s="47" t="inlineStr">
        <is>
          <t>PACO RABANNE PHANTOM EDP INTENSE 100ML MASCULINO</t>
        </is>
      </c>
      <c r="C1534" s="48" t="n">
        <v>100</v>
      </c>
      <c r="D1534" s="49" t="inlineStr">
        <is>
          <t>Diseñador</t>
        </is>
      </c>
      <c r="E1534" s="50" t="n">
        <v>68</v>
      </c>
      <c r="F1534" s="51">
        <f>E1534*$B$5*(1+$B$6)</f>
        <v>88400</v>
      </c>
      <c r="G1534" s="51">
        <f>F1534*$B$7</f>
        <v>221000</v>
      </c>
      <c r="H1534" s="51">
        <f>G1534-F1534</f>
        <v>132600</v>
      </c>
      <c r="I1534" s="52">
        <f>H1534/G1534</f>
        <v>0.6</v>
      </c>
      <c r="J1534" s="53" t="n"/>
      <c r="K1534" s="54" t="n"/>
    </row>
    <row r="1535">
      <c r="A1535" s="39" t="inlineStr">
        <is>
          <t>Paco Rabanne</t>
        </is>
      </c>
      <c r="B1535" s="47" t="inlineStr">
        <is>
          <t>PACO RABANNE PHANTOM EDT 100ML MASCULINO</t>
        </is>
      </c>
      <c r="C1535" s="48" t="n">
        <v>100</v>
      </c>
      <c r="D1535" s="49" t="inlineStr">
        <is>
          <t>Diseñador</t>
        </is>
      </c>
      <c r="E1535" s="50" t="n">
        <v>65</v>
      </c>
      <c r="F1535" s="51">
        <f>E1535*$B$5*(1+$B$6)</f>
        <v>84500</v>
      </c>
      <c r="G1535" s="51">
        <f>F1535*$B$7</f>
        <v>211250</v>
      </c>
      <c r="H1535" s="51">
        <f>G1535-F1535</f>
        <v>126750</v>
      </c>
      <c r="I1535" s="52">
        <f>H1535/G1535</f>
        <v>0.6</v>
      </c>
      <c r="J1535" s="53" t="n"/>
      <c r="K1535" s="54" t="n"/>
    </row>
    <row r="1536">
      <c r="A1536" s="39" t="inlineStr">
        <is>
          <t>Paco Rabanne</t>
        </is>
      </c>
      <c r="B1536" s="47" t="inlineStr">
        <is>
          <t>PACO RABANNE PHANTOM ELIXIR PARFUM INTENSE 100ML MASC</t>
        </is>
      </c>
      <c r="C1536" s="48" t="n">
        <v>100</v>
      </c>
      <c r="D1536" s="49" t="inlineStr">
        <is>
          <t>Diseñador</t>
        </is>
      </c>
      <c r="E1536" s="50" t="n">
        <v>70</v>
      </c>
      <c r="F1536" s="51">
        <f>E1536*$B$5*(1+$B$6)</f>
        <v>91000</v>
      </c>
      <c r="G1536" s="51">
        <f>F1536*$B$7</f>
        <v>227500</v>
      </c>
      <c r="H1536" s="51">
        <f>G1536-F1536</f>
        <v>136500</v>
      </c>
      <c r="I1536" s="52">
        <f>H1536/G1536</f>
        <v>0.6</v>
      </c>
      <c r="J1536" s="53" t="n"/>
      <c r="K1536" s="54" t="n"/>
    </row>
    <row r="1537">
      <c r="A1537" s="39" t="inlineStr">
        <is>
          <t>Paco Rabanne</t>
        </is>
      </c>
      <c r="B1537" s="47" t="inlineStr">
        <is>
          <t>PACO RABANNE PHANTOM IN RED PARFUM ELIXIR 100ML MASC</t>
        </is>
      </c>
      <c r="C1537" s="48" t="n">
        <v>100</v>
      </c>
      <c r="D1537" s="49" t="inlineStr">
        <is>
          <t>Diseñador</t>
        </is>
      </c>
      <c r="E1537" s="50" t="n">
        <v>67.5</v>
      </c>
      <c r="F1537" s="51">
        <f>E1537*$B$5*(1+$B$6)</f>
        <v>87750</v>
      </c>
      <c r="G1537" s="51">
        <f>F1537*$B$7</f>
        <v>219375</v>
      </c>
      <c r="H1537" s="51">
        <f>G1537-F1537</f>
        <v>131625</v>
      </c>
      <c r="I1537" s="52">
        <f>H1537/G1537</f>
        <v>0.6</v>
      </c>
      <c r="J1537" s="53" t="n"/>
      <c r="K1537" s="54" t="n"/>
    </row>
    <row r="1538">
      <c r="A1538" s="39" t="inlineStr">
        <is>
          <t>Paco Rabanne</t>
        </is>
      </c>
      <c r="B1538" s="47" t="inlineStr">
        <is>
          <t>PACO RABANNE PHANTOM PARFUM 100ML MASCULINO</t>
        </is>
      </c>
      <c r="C1538" s="48" t="n">
        <v>100</v>
      </c>
      <c r="D1538" s="49" t="inlineStr">
        <is>
          <t>Diseñador</t>
        </is>
      </c>
      <c r="E1538" s="50" t="n">
        <v>79</v>
      </c>
      <c r="F1538" s="51">
        <f>E1538*$B$5*(1+$B$6)</f>
        <v>102700</v>
      </c>
      <c r="G1538" s="51">
        <f>F1538*$B$7</f>
        <v>256750</v>
      </c>
      <c r="H1538" s="51">
        <f>G1538-F1538</f>
        <v>154050</v>
      </c>
      <c r="I1538" s="52">
        <f>H1538/G1538</f>
        <v>0.6</v>
      </c>
      <c r="J1538" s="53" t="n"/>
      <c r="K1538" s="54" t="n"/>
    </row>
    <row r="1539">
      <c r="A1539" s="39" t="inlineStr">
        <is>
          <t>Paco Rabanne</t>
        </is>
      </c>
      <c r="B1539" s="47" t="inlineStr">
        <is>
          <t>PACO RABANNE PURE XS EDP 80ML FEM</t>
        </is>
      </c>
      <c r="C1539" s="48" t="n">
        <v>80</v>
      </c>
      <c r="D1539" s="49" t="inlineStr">
        <is>
          <t>Diseñador</t>
        </is>
      </c>
      <c r="E1539" s="50" t="n">
        <v>71</v>
      </c>
      <c r="F1539" s="51">
        <f>E1539*$B$5*(1+$B$6)</f>
        <v>92300</v>
      </c>
      <c r="G1539" s="51">
        <f>F1539*$B$7</f>
        <v>230750</v>
      </c>
      <c r="H1539" s="51">
        <f>G1539-F1539</f>
        <v>138450</v>
      </c>
      <c r="I1539" s="52">
        <f>H1539/G1539</f>
        <v>0.6</v>
      </c>
      <c r="J1539" s="53" t="n"/>
      <c r="K1539" s="54" t="n"/>
    </row>
    <row r="1540">
      <c r="A1540" s="39" t="inlineStr">
        <is>
          <t>Paco Rabanne</t>
        </is>
      </c>
      <c r="B1540" s="47" t="inlineStr">
        <is>
          <t>PACO RABANNE ULTRARED EDP 80ML FEM</t>
        </is>
      </c>
      <c r="C1540" s="48" t="n">
        <v>80</v>
      </c>
      <c r="D1540" s="49" t="inlineStr">
        <is>
          <t>Diseñador</t>
        </is>
      </c>
      <c r="E1540" s="50" t="n">
        <v>39</v>
      </c>
      <c r="F1540" s="51">
        <f>E1540*$B$5*(1+$B$6)</f>
        <v>50700</v>
      </c>
      <c r="G1540" s="51">
        <f>F1540*$B$7</f>
        <v>126750</v>
      </c>
      <c r="H1540" s="51">
        <f>G1540-F1540</f>
        <v>76050</v>
      </c>
      <c r="I1540" s="52">
        <f>H1540/G1540</f>
        <v>0.6</v>
      </c>
      <c r="J1540" s="53" t="n"/>
      <c r="K1540" s="54" t="n"/>
    </row>
    <row r="1541">
      <c r="A1541" s="39" t="inlineStr">
        <is>
          <t>Paco Rabanne</t>
        </is>
      </c>
      <c r="B1541" s="47" t="inlineStr">
        <is>
          <t>PACO RABANNE ULTRAVIOLET MAN EDT 100ML MASC</t>
        </is>
      </c>
      <c r="C1541" s="48" t="n">
        <v>100</v>
      </c>
      <c r="D1541" s="49" t="inlineStr">
        <is>
          <t>Diseñador</t>
        </is>
      </c>
      <c r="E1541" s="50" t="n">
        <v>39</v>
      </c>
      <c r="F1541" s="51">
        <f>E1541*$B$5*(1+$B$6)</f>
        <v>50700</v>
      </c>
      <c r="G1541" s="51">
        <f>F1541*$B$7</f>
        <v>126750</v>
      </c>
      <c r="H1541" s="51">
        <f>G1541-F1541</f>
        <v>76050</v>
      </c>
      <c r="I1541" s="52">
        <f>H1541/G1541</f>
        <v>0.6</v>
      </c>
      <c r="J1541" s="53" t="n"/>
      <c r="K1541" s="54" t="n"/>
    </row>
    <row r="1542">
      <c r="A1542" s="39" t="inlineStr">
        <is>
          <t>Paco Rabanne</t>
        </is>
      </c>
      <c r="B1542" s="47" t="inlineStr">
        <is>
          <t>PACO RABANNE XS EDT 100ML MASC</t>
        </is>
      </c>
      <c r="C1542" s="48" t="n">
        <v>100</v>
      </c>
      <c r="D1542" s="49" t="inlineStr">
        <is>
          <t>Diseñador</t>
        </is>
      </c>
      <c r="E1542" s="50" t="n">
        <v>35</v>
      </c>
      <c r="F1542" s="51">
        <f>E1542*$B$5*(1+$B$6)</f>
        <v>45500</v>
      </c>
      <c r="G1542" s="51">
        <f>F1542*$B$7</f>
        <v>113750</v>
      </c>
      <c r="H1542" s="51">
        <f>G1542-F1542</f>
        <v>68250</v>
      </c>
      <c r="I1542" s="52">
        <f>H1542/G1542</f>
        <v>0.6</v>
      </c>
      <c r="J1542" s="53" t="n"/>
      <c r="K1542" s="54" t="n"/>
    </row>
    <row r="1543">
      <c r="A1543" s="39" t="inlineStr">
        <is>
          <t>Paco Rabanne</t>
        </is>
      </c>
      <c r="B1543" s="47" t="inlineStr">
        <is>
          <t>TESTER PACO RABANNE 1 MILLION EDT 100ML MASC</t>
        </is>
      </c>
      <c r="C1543" s="48" t="n">
        <v>100</v>
      </c>
      <c r="D1543" s="49" t="inlineStr">
        <is>
          <t>Tester</t>
        </is>
      </c>
      <c r="E1543" s="50" t="n">
        <v>44</v>
      </c>
      <c r="F1543" s="51">
        <f>E1543*$B$5*(1+$B$6)</f>
        <v>57200</v>
      </c>
      <c r="G1543" s="51">
        <f>F1543*$B$7</f>
        <v>143000</v>
      </c>
      <c r="H1543" s="51">
        <f>G1543-F1543</f>
        <v>85800</v>
      </c>
      <c r="I1543" s="52">
        <f>H1543/G1543</f>
        <v>0.6</v>
      </c>
      <c r="J1543" s="53" t="n"/>
      <c r="K1543" s="54" t="n"/>
    </row>
    <row r="1544">
      <c r="A1544" s="39" t="inlineStr">
        <is>
          <t>Paco Rabanne</t>
        </is>
      </c>
      <c r="B1544" s="47" t="inlineStr">
        <is>
          <t>TESTER PACO RABANNE 1 ONE MILLION PARFUM 100ML MASC</t>
        </is>
      </c>
      <c r="C1544" s="48" t="n">
        <v>100</v>
      </c>
      <c r="D1544" s="49" t="inlineStr">
        <is>
          <t>Tester</t>
        </is>
      </c>
      <c r="E1544" s="50" t="n">
        <v>64</v>
      </c>
      <c r="F1544" s="51">
        <f>E1544*$B$5*(1+$B$6)</f>
        <v>83200</v>
      </c>
      <c r="G1544" s="51">
        <f>F1544*$B$7</f>
        <v>208000</v>
      </c>
      <c r="H1544" s="51">
        <f>G1544-F1544</f>
        <v>124800</v>
      </c>
      <c r="I1544" s="52">
        <f>H1544/G1544</f>
        <v>0.6</v>
      </c>
      <c r="J1544" s="53" t="n"/>
      <c r="K1544" s="54" t="n"/>
    </row>
    <row r="1545">
      <c r="A1545" s="39" t="inlineStr">
        <is>
          <t>Paco Rabanne</t>
        </is>
      </c>
      <c r="B1545" s="47" t="inlineStr">
        <is>
          <t>TESTER PACO RABANNE FAME EDP 80ML</t>
        </is>
      </c>
      <c r="C1545" s="48" t="n">
        <v>80</v>
      </c>
      <c r="D1545" s="49" t="inlineStr">
        <is>
          <t>Tester</t>
        </is>
      </c>
      <c r="E1545" s="50" t="n">
        <v>62</v>
      </c>
      <c r="F1545" s="51">
        <f>E1545*$B$5*(1+$B$6)</f>
        <v>80600</v>
      </c>
      <c r="G1545" s="51">
        <f>F1545*$B$7</f>
        <v>201500</v>
      </c>
      <c r="H1545" s="51">
        <f>G1545-F1545</f>
        <v>120900</v>
      </c>
      <c r="I1545" s="52">
        <f>H1545/G1545</f>
        <v>0.6</v>
      </c>
      <c r="J1545" s="53" t="n"/>
      <c r="K1545" s="54" t="n"/>
    </row>
    <row r="1546">
      <c r="A1546" s="39" t="inlineStr">
        <is>
          <t>Paco Rabanne</t>
        </is>
      </c>
      <c r="B1546" s="47" t="inlineStr">
        <is>
          <t>TESTER PACO RABANNE INVICTUS VICTORY ABSOLU PARFUM INTENSE 100ML</t>
        </is>
      </c>
      <c r="C1546" s="48" t="n">
        <v>100</v>
      </c>
      <c r="D1546" s="49" t="inlineStr">
        <is>
          <t>Tester</t>
        </is>
      </c>
      <c r="E1546" s="50" t="n">
        <v>70</v>
      </c>
      <c r="F1546" s="51">
        <f>E1546*$B$5*(1+$B$6)</f>
        <v>91000</v>
      </c>
      <c r="G1546" s="51">
        <f>F1546*$B$7</f>
        <v>227500</v>
      </c>
      <c r="H1546" s="51">
        <f>G1546-F1546</f>
        <v>136500</v>
      </c>
      <c r="I1546" s="52">
        <f>H1546/G1546</f>
        <v>0.6</v>
      </c>
      <c r="J1546" s="53" t="n"/>
      <c r="K1546" s="54" t="n"/>
    </row>
    <row r="1547">
      <c r="A1547" s="39" t="inlineStr">
        <is>
          <t>Paco Rabanne</t>
        </is>
      </c>
      <c r="B1547" s="47" t="inlineStr">
        <is>
          <t>TESTER PACO RABANNE INVICTUS VICTORY ELIXIR PARFUM INTENSE 100ML</t>
        </is>
      </c>
      <c r="C1547" s="48" t="n">
        <v>100</v>
      </c>
      <c r="D1547" s="49" t="inlineStr">
        <is>
          <t>Tester</t>
        </is>
      </c>
      <c r="E1547" s="50" t="n">
        <v>76</v>
      </c>
      <c r="F1547" s="51">
        <f>E1547*$B$5*(1+$B$6)</f>
        <v>98800</v>
      </c>
      <c r="G1547" s="51">
        <f>F1547*$B$7</f>
        <v>247000</v>
      </c>
      <c r="H1547" s="51">
        <f>G1547-F1547</f>
        <v>148200</v>
      </c>
      <c r="I1547" s="52">
        <f>H1547/G1547</f>
        <v>0.6</v>
      </c>
      <c r="J1547" s="53" t="n"/>
      <c r="K1547" s="54" t="n"/>
    </row>
    <row r="1548">
      <c r="A1548" s="39" t="inlineStr">
        <is>
          <t>Paco Rabanne</t>
        </is>
      </c>
      <c r="B1548" s="47" t="inlineStr">
        <is>
          <t>TESTER PACO RABANNE LADY MILLION FABULOUS EDP INTENSE 80ML</t>
        </is>
      </c>
      <c r="C1548" s="48" t="n">
        <v>80</v>
      </c>
      <c r="D1548" s="49" t="inlineStr">
        <is>
          <t>Tester</t>
        </is>
      </c>
      <c r="E1548" s="50" t="n">
        <v>65</v>
      </c>
      <c r="F1548" s="51">
        <f>E1548*$B$5*(1+$B$6)</f>
        <v>84500</v>
      </c>
      <c r="G1548" s="51">
        <f>F1548*$B$7</f>
        <v>211250</v>
      </c>
      <c r="H1548" s="51">
        <f>G1548-F1548</f>
        <v>126750</v>
      </c>
      <c r="I1548" s="52">
        <f>H1548/G1548</f>
        <v>0.6</v>
      </c>
      <c r="J1548" s="53" t="n"/>
      <c r="K1548" s="54" t="n"/>
    </row>
    <row r="1549">
      <c r="A1549" s="39" t="inlineStr">
        <is>
          <t>Paco Rabanne</t>
        </is>
      </c>
      <c r="B1549" s="47" t="inlineStr">
        <is>
          <t>TESTER PACO RABANNE LADY MILLION ROYAL EDP 80ML</t>
        </is>
      </c>
      <c r="C1549" s="48" t="n">
        <v>80</v>
      </c>
      <c r="D1549" s="49" t="inlineStr">
        <is>
          <t>Tester</t>
        </is>
      </c>
      <c r="E1549" s="50" t="n">
        <v>58</v>
      </c>
      <c r="F1549" s="51">
        <f>E1549*$B$5*(1+$B$6)</f>
        <v>75400</v>
      </c>
      <c r="G1549" s="51">
        <f>F1549*$B$7</f>
        <v>188500</v>
      </c>
      <c r="H1549" s="51">
        <f>G1549-F1549</f>
        <v>113100</v>
      </c>
      <c r="I1549" s="52">
        <f>H1549/G1549</f>
        <v>0.6</v>
      </c>
      <c r="J1549" s="53" t="n"/>
      <c r="K1549" s="54" t="n"/>
    </row>
    <row r="1550">
      <c r="A1550" s="39" t="inlineStr">
        <is>
          <t>Paco Rabanne</t>
        </is>
      </c>
      <c r="B1550" s="47" t="inlineStr">
        <is>
          <t>TESTER PACO RABANNE MILLION GOLD INTENSE EDP 100ML MASC</t>
        </is>
      </c>
      <c r="C1550" s="48" t="n">
        <v>100</v>
      </c>
      <c r="D1550" s="49" t="inlineStr">
        <is>
          <t>Tester</t>
        </is>
      </c>
      <c r="E1550" s="50" t="n">
        <v>70</v>
      </c>
      <c r="F1550" s="51">
        <f>E1550*$B$5*(1+$B$6)</f>
        <v>91000</v>
      </c>
      <c r="G1550" s="51">
        <f>F1550*$B$7</f>
        <v>227500</v>
      </c>
      <c r="H1550" s="51">
        <f>G1550-F1550</f>
        <v>136500</v>
      </c>
      <c r="I1550" s="52">
        <f>H1550/G1550</f>
        <v>0.6</v>
      </c>
      <c r="J1550" s="53" t="n"/>
      <c r="K1550" s="54" t="n"/>
    </row>
    <row r="1551">
      <c r="A1551" s="39" t="inlineStr">
        <is>
          <t>Paco Rabanne</t>
        </is>
      </c>
      <c r="B1551" s="47" t="inlineStr">
        <is>
          <t>TESTER PACO RABANNE MILLION GOLD PARFUM INTENSE ELIXIR 100ML MASC</t>
        </is>
      </c>
      <c r="C1551" s="48" t="n">
        <v>100</v>
      </c>
      <c r="D1551" s="49" t="inlineStr">
        <is>
          <t>Tester</t>
        </is>
      </c>
      <c r="E1551" s="50" t="n">
        <v>65</v>
      </c>
      <c r="F1551" s="51">
        <f>E1551*$B$5*(1+$B$6)</f>
        <v>84500</v>
      </c>
      <c r="G1551" s="51">
        <f>F1551*$B$7</f>
        <v>211250</v>
      </c>
      <c r="H1551" s="51">
        <f>G1551-F1551</f>
        <v>126750</v>
      </c>
      <c r="I1551" s="52">
        <f>H1551/G1551</f>
        <v>0.6</v>
      </c>
      <c r="J1551" s="53" t="n"/>
      <c r="K1551" s="54" t="n"/>
    </row>
    <row r="1552">
      <c r="A1552" s="39" t="inlineStr">
        <is>
          <t>Paco Rabanne</t>
        </is>
      </c>
      <c r="B1552" s="47" t="inlineStr">
        <is>
          <t>TESTER PACO RABANNE OLYMPEA BLOSSOM EDP 80ML</t>
        </is>
      </c>
      <c r="C1552" s="48" t="n">
        <v>80</v>
      </c>
      <c r="D1552" s="49" t="inlineStr">
        <is>
          <t>Tester</t>
        </is>
      </c>
      <c r="E1552" s="50" t="n">
        <v>44</v>
      </c>
      <c r="F1552" s="51">
        <f>E1552*$B$5*(1+$B$6)</f>
        <v>57200</v>
      </c>
      <c r="G1552" s="51">
        <f>F1552*$B$7</f>
        <v>143000</v>
      </c>
      <c r="H1552" s="51">
        <f>G1552-F1552</f>
        <v>85800</v>
      </c>
      <c r="I1552" s="52">
        <f>H1552/G1552</f>
        <v>0.6</v>
      </c>
      <c r="J1552" s="53" t="n"/>
      <c r="K1552" s="54" t="n"/>
    </row>
    <row r="1553">
      <c r="A1553" s="39" t="inlineStr">
        <is>
          <t>Paco Rabanne</t>
        </is>
      </c>
      <c r="B1553" s="47" t="inlineStr">
        <is>
          <t>TESTER PACO RABANNE OLYMPEA EDP 80ML FEM</t>
        </is>
      </c>
      <c r="C1553" s="48" t="n">
        <v>80</v>
      </c>
      <c r="D1553" s="49" t="inlineStr">
        <is>
          <t>Tester</t>
        </is>
      </c>
      <c r="E1553" s="50" t="n">
        <v>62</v>
      </c>
      <c r="F1553" s="51">
        <f>E1553*$B$5*(1+$B$6)</f>
        <v>80600</v>
      </c>
      <c r="G1553" s="51">
        <f>F1553*$B$7</f>
        <v>201500</v>
      </c>
      <c r="H1553" s="51">
        <f>G1553-F1553</f>
        <v>120900</v>
      </c>
      <c r="I1553" s="52">
        <f>H1553/G1553</f>
        <v>0.6</v>
      </c>
      <c r="J1553" s="53" t="n"/>
      <c r="K1553" s="54" t="n"/>
    </row>
    <row r="1554">
      <c r="A1554" s="39" t="inlineStr">
        <is>
          <t>Paco Rabanne</t>
        </is>
      </c>
      <c r="B1554" s="47" t="inlineStr">
        <is>
          <t>TESTER PACO RABANNE OLYMPEA PARFUM 80ML</t>
        </is>
      </c>
      <c r="C1554" s="48" t="n">
        <v>80</v>
      </c>
      <c r="D1554" s="49" t="inlineStr">
        <is>
          <t>Tester</t>
        </is>
      </c>
      <c r="E1554" s="50" t="n">
        <v>63.5</v>
      </c>
      <c r="F1554" s="51">
        <f>E1554*$B$5*(1+$B$6)</f>
        <v>82550</v>
      </c>
      <c r="G1554" s="51">
        <f>F1554*$B$7</f>
        <v>206375</v>
      </c>
      <c r="H1554" s="51">
        <f>G1554-F1554</f>
        <v>123825</v>
      </c>
      <c r="I1554" s="52">
        <f>H1554/G1554</f>
        <v>0.6</v>
      </c>
      <c r="J1554" s="53" t="n"/>
      <c r="K1554" s="54" t="n"/>
    </row>
    <row r="1555">
      <c r="A1555" s="39" t="inlineStr">
        <is>
          <t>Paco Rabanne</t>
        </is>
      </c>
      <c r="B1555" s="47" t="inlineStr">
        <is>
          <t>TESTER PACO RABANNE OLYMPEA SOLAR EDP INTENSE 80ML FEM</t>
        </is>
      </c>
      <c r="C1555" s="48" t="n">
        <v>80</v>
      </c>
      <c r="D1555" s="49" t="inlineStr">
        <is>
          <t>Tester</t>
        </is>
      </c>
      <c r="E1555" s="50" t="n">
        <v>56</v>
      </c>
      <c r="F1555" s="51">
        <f>E1555*$B$5*(1+$B$6)</f>
        <v>72800</v>
      </c>
      <c r="G1555" s="51">
        <f>F1555*$B$7</f>
        <v>182000</v>
      </c>
      <c r="H1555" s="51">
        <f>G1555-F1555</f>
        <v>109200</v>
      </c>
      <c r="I1555" s="52">
        <f>H1555/G1555</f>
        <v>0.6</v>
      </c>
      <c r="J1555" s="53" t="n"/>
      <c r="K1555" s="54" t="n"/>
    </row>
    <row r="1556">
      <c r="A1556" s="39" t="inlineStr">
        <is>
          <t>Paco Rabanne</t>
        </is>
      </c>
      <c r="B1556" s="47" t="inlineStr">
        <is>
          <t>TESTER PACO RABANNE POUR HOMME EDT 100ML</t>
        </is>
      </c>
      <c r="C1556" s="48" t="n">
        <v>100</v>
      </c>
      <c r="D1556" s="49" t="inlineStr">
        <is>
          <t>Tester</t>
        </is>
      </c>
      <c r="E1556" s="50" t="n">
        <v>30</v>
      </c>
      <c r="F1556" s="51">
        <f>E1556*$B$5*(1+$B$6)</f>
        <v>39000</v>
      </c>
      <c r="G1556" s="51">
        <f>F1556*$B$7</f>
        <v>97500</v>
      </c>
      <c r="H1556" s="51">
        <f>G1556-F1556</f>
        <v>58500</v>
      </c>
      <c r="I1556" s="52">
        <f>H1556/G1556</f>
        <v>0.6</v>
      </c>
      <c r="J1556" s="53" t="n"/>
      <c r="K1556" s="54" t="n"/>
    </row>
    <row r="1557">
      <c r="A1557" s="39" t="inlineStr">
        <is>
          <t>Paloma Picasso</t>
        </is>
      </c>
      <c r="B1557" s="47" t="inlineStr">
        <is>
          <t>PALOMA PICASSO EDP 100ML FEM</t>
        </is>
      </c>
      <c r="C1557" s="48" t="n">
        <v>100</v>
      </c>
      <c r="D1557" s="49" t="inlineStr">
        <is>
          <t>Diseñador</t>
        </is>
      </c>
      <c r="E1557" s="50" t="n">
        <v>28</v>
      </c>
      <c r="F1557" s="51">
        <f>E1557*$B$5*(1+$B$6)</f>
        <v>36400</v>
      </c>
      <c r="G1557" s="51">
        <f>F1557*$B$7</f>
        <v>91000</v>
      </c>
      <c r="H1557" s="51">
        <f>G1557-F1557</f>
        <v>54600</v>
      </c>
      <c r="I1557" s="52">
        <f>H1557/G1557</f>
        <v>0.6</v>
      </c>
      <c r="J1557" s="53" t="n"/>
      <c r="K1557" s="54" t="n"/>
    </row>
    <row r="1558">
      <c r="A1558" s="39" t="inlineStr">
        <is>
          <t>Paloma Picasso</t>
        </is>
      </c>
      <c r="B1558" s="47" t="inlineStr">
        <is>
          <t>PALOMA PICASSO EDT 100ML FEM</t>
        </is>
      </c>
      <c r="C1558" s="48" t="n">
        <v>100</v>
      </c>
      <c r="D1558" s="49" t="inlineStr">
        <is>
          <t>Diseñador</t>
        </is>
      </c>
      <c r="E1558" s="50" t="n">
        <v>28.5</v>
      </c>
      <c r="F1558" s="51">
        <f>E1558*$B$5*(1+$B$6)</f>
        <v>37050</v>
      </c>
      <c r="G1558" s="51">
        <f>F1558*$B$7</f>
        <v>92625</v>
      </c>
      <c r="H1558" s="51">
        <f>G1558-F1558</f>
        <v>55575</v>
      </c>
      <c r="I1558" s="52">
        <f>H1558/G1558</f>
        <v>0.6</v>
      </c>
      <c r="J1558" s="53" t="n"/>
      <c r="K1558" s="54" t="n"/>
    </row>
    <row r="1559">
      <c r="A1559" s="39" t="inlineStr">
        <is>
          <t>Paradis des Sens</t>
        </is>
      </c>
      <c r="B1559" s="47" t="inlineStr">
        <is>
          <t>PARADIS DES SENS CELESTIA EDP 100ML</t>
        </is>
      </c>
      <c r="C1559" s="48" t="n">
        <v>100</v>
      </c>
      <c r="D1559" s="49" t="inlineStr">
        <is>
          <t>Nicho</t>
        </is>
      </c>
      <c r="E1559" s="50" t="n">
        <v>200</v>
      </c>
      <c r="F1559" s="51">
        <f>E1559*$B$5*(1+$B$6)</f>
        <v>260000</v>
      </c>
      <c r="G1559" s="51">
        <f>F1559*$B$7</f>
        <v>650000</v>
      </c>
      <c r="H1559" s="51">
        <f>G1559-F1559</f>
        <v>390000</v>
      </c>
      <c r="I1559" s="52">
        <f>H1559/G1559</f>
        <v>0.6</v>
      </c>
      <c r="J1559" s="53" t="n"/>
      <c r="K1559" s="54" t="n"/>
    </row>
    <row r="1560">
      <c r="A1560" s="39" t="inlineStr">
        <is>
          <t>Paradis des Sens</t>
        </is>
      </c>
      <c r="B1560" s="47" t="inlineStr">
        <is>
          <t>PARADIS DES SENS ECSTASY EDP 100ML</t>
        </is>
      </c>
      <c r="C1560" s="48" t="n">
        <v>100</v>
      </c>
      <c r="D1560" s="49" t="inlineStr">
        <is>
          <t>Nicho</t>
        </is>
      </c>
      <c r="E1560" s="50" t="n">
        <v>200</v>
      </c>
      <c r="F1560" s="51">
        <f>E1560*$B$5*(1+$B$6)</f>
        <v>260000</v>
      </c>
      <c r="G1560" s="51">
        <f>F1560*$B$7</f>
        <v>650000</v>
      </c>
      <c r="H1560" s="51">
        <f>G1560-F1560</f>
        <v>390000</v>
      </c>
      <c r="I1560" s="52">
        <f>H1560/G1560</f>
        <v>0.6</v>
      </c>
      <c r="J1560" s="53" t="n"/>
      <c r="K1560" s="54" t="n"/>
    </row>
    <row r="1561">
      <c r="A1561" s="39" t="inlineStr">
        <is>
          <t>Paradis des Sens</t>
        </is>
      </c>
      <c r="B1561" s="47" t="inlineStr">
        <is>
          <t>PARADIS DES SENS EDEN EDP 100ML</t>
        </is>
      </c>
      <c r="C1561" s="48" t="n">
        <v>100</v>
      </c>
      <c r="D1561" s="49" t="inlineStr">
        <is>
          <t>Nicho</t>
        </is>
      </c>
      <c r="E1561" s="50" t="n">
        <v>200</v>
      </c>
      <c r="F1561" s="51">
        <f>E1561*$B$5*(1+$B$6)</f>
        <v>260000</v>
      </c>
      <c r="G1561" s="51">
        <f>F1561*$B$7</f>
        <v>650000</v>
      </c>
      <c r="H1561" s="51">
        <f>G1561-F1561</f>
        <v>390000</v>
      </c>
      <c r="I1561" s="52">
        <f>H1561/G1561</f>
        <v>0.6</v>
      </c>
      <c r="J1561" s="53" t="n"/>
      <c r="K1561" s="54" t="n"/>
    </row>
    <row r="1562">
      <c r="A1562" s="39" t="inlineStr">
        <is>
          <t>Paradis des Sens</t>
        </is>
      </c>
      <c r="B1562" s="47" t="inlineStr">
        <is>
          <t>PARADIS DES SENS NIRVANA EDP 100ML</t>
        </is>
      </c>
      <c r="C1562" s="48" t="n">
        <v>100</v>
      </c>
      <c r="D1562" s="49" t="inlineStr">
        <is>
          <t>Nicho</t>
        </is>
      </c>
      <c r="E1562" s="50" t="n">
        <v>200</v>
      </c>
      <c r="F1562" s="51">
        <f>E1562*$B$5*(1+$B$6)</f>
        <v>260000</v>
      </c>
      <c r="G1562" s="51">
        <f>F1562*$B$7</f>
        <v>650000</v>
      </c>
      <c r="H1562" s="51">
        <f>G1562-F1562</f>
        <v>390000</v>
      </c>
      <c r="I1562" s="52">
        <f>H1562/G1562</f>
        <v>0.6</v>
      </c>
      <c r="J1562" s="53" t="n"/>
      <c r="K1562" s="54" t="n"/>
    </row>
    <row r="1563">
      <c r="A1563" s="39" t="inlineStr">
        <is>
          <t>Paradis des Sens</t>
        </is>
      </c>
      <c r="B1563" s="47" t="inlineStr">
        <is>
          <t>PARADIS DES SENS SEVEN HEAVEN EDP 100ML</t>
        </is>
      </c>
      <c r="C1563" s="48" t="n">
        <v>100</v>
      </c>
      <c r="D1563" s="49" t="inlineStr">
        <is>
          <t>Nicho</t>
        </is>
      </c>
      <c r="E1563" s="50" t="n">
        <v>200</v>
      </c>
      <c r="F1563" s="51">
        <f>E1563*$B$5*(1+$B$6)</f>
        <v>260000</v>
      </c>
      <c r="G1563" s="51">
        <f>F1563*$B$7</f>
        <v>650000</v>
      </c>
      <c r="H1563" s="51">
        <f>G1563-F1563</f>
        <v>390000</v>
      </c>
      <c r="I1563" s="52">
        <f>H1563/G1563</f>
        <v>0.6</v>
      </c>
      <c r="J1563" s="53" t="n"/>
      <c r="K1563" s="54" t="n"/>
    </row>
    <row r="1564">
      <c r="A1564" s="39" t="inlineStr">
        <is>
          <t>Paradis des Sens</t>
        </is>
      </c>
      <c r="B1564" s="47" t="inlineStr">
        <is>
          <t>PARADIS DES SENS VALHALLA EDP 100ML</t>
        </is>
      </c>
      <c r="C1564" s="48" t="n">
        <v>100</v>
      </c>
      <c r="D1564" s="49" t="inlineStr">
        <is>
          <t>Nicho</t>
        </is>
      </c>
      <c r="E1564" s="50" t="n">
        <v>200</v>
      </c>
      <c r="F1564" s="51">
        <f>E1564*$B$5*(1+$B$6)</f>
        <v>260000</v>
      </c>
      <c r="G1564" s="51">
        <f>F1564*$B$7</f>
        <v>650000</v>
      </c>
      <c r="H1564" s="51">
        <f>G1564-F1564</f>
        <v>390000</v>
      </c>
      <c r="I1564" s="52">
        <f>H1564/G1564</f>
        <v>0.6</v>
      </c>
      <c r="J1564" s="53" t="n"/>
      <c r="K1564" s="54" t="n"/>
    </row>
    <row r="1565">
      <c r="A1565" s="39" t="inlineStr">
        <is>
          <t>Paradis des Sens</t>
        </is>
      </c>
      <c r="B1565" s="47" t="inlineStr">
        <is>
          <t>PARADIS DES SENS XANADU EDP 100ML</t>
        </is>
      </c>
      <c r="C1565" s="48" t="n">
        <v>100</v>
      </c>
      <c r="D1565" s="49" t="inlineStr">
        <is>
          <t>Nicho</t>
        </is>
      </c>
      <c r="E1565" s="50" t="n">
        <v>200</v>
      </c>
      <c r="F1565" s="51">
        <f>E1565*$B$5*(1+$B$6)</f>
        <v>260000</v>
      </c>
      <c r="G1565" s="51">
        <f>F1565*$B$7</f>
        <v>650000</v>
      </c>
      <c r="H1565" s="51">
        <f>G1565-F1565</f>
        <v>390000</v>
      </c>
      <c r="I1565" s="52">
        <f>H1565/G1565</f>
        <v>0.6</v>
      </c>
      <c r="J1565" s="53" t="n"/>
      <c r="K1565" s="54" t="n"/>
    </row>
    <row r="1566">
      <c r="A1566" s="39" t="inlineStr">
        <is>
          <t>Paradis des Sens</t>
        </is>
      </c>
      <c r="B1566" s="47" t="inlineStr">
        <is>
          <t>TESTER PARADIS DES SENS ANELA EDP 100ML</t>
        </is>
      </c>
      <c r="C1566" s="48" t="n">
        <v>100</v>
      </c>
      <c r="D1566" s="49" t="inlineStr">
        <is>
          <t>Tester</t>
        </is>
      </c>
      <c r="E1566" s="50" t="n">
        <v>200</v>
      </c>
      <c r="F1566" s="51">
        <f>E1566*$B$5*(1+$B$6)</f>
        <v>260000</v>
      </c>
      <c r="G1566" s="51">
        <f>F1566*$B$7</f>
        <v>650000</v>
      </c>
      <c r="H1566" s="51">
        <f>G1566-F1566</f>
        <v>390000</v>
      </c>
      <c r="I1566" s="52">
        <f>H1566/G1566</f>
        <v>0.6</v>
      </c>
      <c r="J1566" s="53" t="n"/>
      <c r="K1566" s="54" t="n"/>
    </row>
    <row r="1567">
      <c r="A1567" s="39" t="inlineStr">
        <is>
          <t>Paradis des Sens</t>
        </is>
      </c>
      <c r="B1567" s="47" t="inlineStr">
        <is>
          <t>TESTER PARADIS DES SENS CELESTIA EDP 100ML</t>
        </is>
      </c>
      <c r="C1567" s="48" t="n">
        <v>100</v>
      </c>
      <c r="D1567" s="49" t="inlineStr">
        <is>
          <t>Tester</t>
        </is>
      </c>
      <c r="E1567" s="50" t="n">
        <v>200</v>
      </c>
      <c r="F1567" s="51">
        <f>E1567*$B$5*(1+$B$6)</f>
        <v>260000</v>
      </c>
      <c r="G1567" s="51">
        <f>F1567*$B$7</f>
        <v>650000</v>
      </c>
      <c r="H1567" s="51">
        <f>G1567-F1567</f>
        <v>390000</v>
      </c>
      <c r="I1567" s="52">
        <f>H1567/G1567</f>
        <v>0.6</v>
      </c>
      <c r="J1567" s="53" t="n"/>
      <c r="K1567" s="54" t="n"/>
    </row>
    <row r="1568">
      <c r="A1568" s="39" t="inlineStr">
        <is>
          <t>Paradis des Sens</t>
        </is>
      </c>
      <c r="B1568" s="47" t="inlineStr">
        <is>
          <t>TESTER PARADIS DES SENS XANADU EDP 100ML</t>
        </is>
      </c>
      <c r="C1568" s="48" t="n">
        <v>100</v>
      </c>
      <c r="D1568" s="49" t="inlineStr">
        <is>
          <t>Tester</t>
        </is>
      </c>
      <c r="E1568" s="50" t="n">
        <v>200</v>
      </c>
      <c r="F1568" s="51">
        <f>E1568*$B$5*(1+$B$6)</f>
        <v>260000</v>
      </c>
      <c r="G1568" s="51">
        <f>F1568*$B$7</f>
        <v>650000</v>
      </c>
      <c r="H1568" s="51">
        <f>G1568-F1568</f>
        <v>390000</v>
      </c>
      <c r="I1568" s="52">
        <f>H1568/G1568</f>
        <v>0.6</v>
      </c>
      <c r="J1568" s="53" t="n"/>
      <c r="K1568" s="54" t="n"/>
    </row>
    <row r="1569">
      <c r="A1569" s="39" t="inlineStr">
        <is>
          <t>Parfums de Marly</t>
        </is>
      </c>
      <c r="B1569" s="47" t="inlineStr">
        <is>
          <t>PARFUMS DE MARLY ALTHAIR EDP 125ML</t>
        </is>
      </c>
      <c r="C1569" s="48" t="n">
        <v>125</v>
      </c>
      <c r="D1569" s="49" t="inlineStr">
        <is>
          <t>Nicho</t>
        </is>
      </c>
      <c r="E1569" s="50" t="n">
        <v>247</v>
      </c>
      <c r="F1569" s="51">
        <f>E1569*$B$5*(1+$B$6)</f>
        <v>321100</v>
      </c>
      <c r="G1569" s="51">
        <f>F1569*$B$7</f>
        <v>802750</v>
      </c>
      <c r="H1569" s="51">
        <f>G1569-F1569</f>
        <v>481650</v>
      </c>
      <c r="I1569" s="52">
        <f>H1569/G1569</f>
        <v>0.6</v>
      </c>
      <c r="J1569" s="53" t="n"/>
      <c r="K1569" s="54" t="n"/>
    </row>
    <row r="1570">
      <c r="A1570" s="39" t="inlineStr">
        <is>
          <t>Parfums de Marly</t>
        </is>
      </c>
      <c r="B1570" s="47" t="inlineStr">
        <is>
          <t>PARFUMS DE MARLY DARLEY EDP 125ML</t>
        </is>
      </c>
      <c r="C1570" s="48" t="n">
        <v>125</v>
      </c>
      <c r="D1570" s="49" t="inlineStr">
        <is>
          <t>Nicho</t>
        </is>
      </c>
      <c r="E1570" s="50" t="n">
        <v>220</v>
      </c>
      <c r="F1570" s="51">
        <f>E1570*$B$5*(1+$B$6)</f>
        <v>286000</v>
      </c>
      <c r="G1570" s="51">
        <f>F1570*$B$7</f>
        <v>715000</v>
      </c>
      <c r="H1570" s="51">
        <f>G1570-F1570</f>
        <v>429000</v>
      </c>
      <c r="I1570" s="52">
        <f>H1570/G1570</f>
        <v>0.6</v>
      </c>
      <c r="J1570" s="53" t="n"/>
      <c r="K1570" s="54" t="n"/>
    </row>
    <row r="1571">
      <c r="A1571" s="39" t="inlineStr">
        <is>
          <t>Parfums de Marly</t>
        </is>
      </c>
      <c r="B1571" s="47" t="inlineStr">
        <is>
          <t>PARFUMS DE MARLY DELINA EDP 75ML</t>
        </is>
      </c>
      <c r="C1571" s="48" t="n">
        <v>75</v>
      </c>
      <c r="D1571" s="49" t="inlineStr">
        <is>
          <t>Nicho</t>
        </is>
      </c>
      <c r="E1571" s="50" t="n">
        <v>240</v>
      </c>
      <c r="F1571" s="51">
        <f>E1571*$B$5*(1+$B$6)</f>
        <v>312000</v>
      </c>
      <c r="G1571" s="51">
        <f>F1571*$B$7</f>
        <v>780000</v>
      </c>
      <c r="H1571" s="51">
        <f>G1571-F1571</f>
        <v>468000</v>
      </c>
      <c r="I1571" s="52">
        <f>H1571/G1571</f>
        <v>0.6</v>
      </c>
      <c r="J1571" s="53" t="n"/>
      <c r="K1571" s="54" t="n"/>
    </row>
    <row r="1572">
      <c r="A1572" s="39" t="inlineStr">
        <is>
          <t>Parfums de Marly</t>
        </is>
      </c>
      <c r="B1572" s="47" t="inlineStr">
        <is>
          <t>PARFUMS DE MARLY DELINA EXCLUSIF PARFUM 75ML</t>
        </is>
      </c>
      <c r="C1572" s="48" t="n">
        <v>75</v>
      </c>
      <c r="D1572" s="49" t="inlineStr">
        <is>
          <t>Nicho</t>
        </is>
      </c>
      <c r="E1572" s="50" t="n">
        <v>255</v>
      </c>
      <c r="F1572" s="51">
        <f>E1572*$B$5*(1+$B$6)</f>
        <v>331500</v>
      </c>
      <c r="G1572" s="51">
        <f>F1572*$B$7</f>
        <v>828750</v>
      </c>
      <c r="H1572" s="51">
        <f>G1572-F1572</f>
        <v>497250</v>
      </c>
      <c r="I1572" s="52">
        <f>H1572/G1572</f>
        <v>0.6</v>
      </c>
      <c r="J1572" s="53" t="n"/>
      <c r="K1572" s="54" t="n"/>
    </row>
    <row r="1573">
      <c r="A1573" s="39" t="inlineStr">
        <is>
          <t>Parfums de Marly</t>
        </is>
      </c>
      <c r="B1573" s="47" t="inlineStr">
        <is>
          <t>PARFUMS DE MARLY DELINA LA ROSEE EDP 30ML FEM</t>
        </is>
      </c>
      <c r="C1573" s="48" t="n">
        <v>30</v>
      </c>
      <c r="D1573" s="49" t="inlineStr">
        <is>
          <t>Nicho</t>
        </is>
      </c>
      <c r="E1573" s="50" t="n">
        <v>178</v>
      </c>
      <c r="F1573" s="51">
        <f>E1573*$B$5*(1+$B$6)</f>
        <v>231400</v>
      </c>
      <c r="G1573" s="51">
        <f>F1573*$B$7</f>
        <v>578500</v>
      </c>
      <c r="H1573" s="51">
        <f>G1573-F1573</f>
        <v>347100</v>
      </c>
      <c r="I1573" s="52">
        <f>H1573/G1573</f>
        <v>0.6</v>
      </c>
      <c r="J1573" s="53" t="n"/>
      <c r="K1573" s="54" t="n"/>
    </row>
    <row r="1574">
      <c r="A1574" s="39" t="inlineStr">
        <is>
          <t>Parfums de Marly</t>
        </is>
      </c>
      <c r="B1574" s="47" t="inlineStr">
        <is>
          <t>PARFUMS DE MARLY GREENLEY EDP 125ML</t>
        </is>
      </c>
      <c r="C1574" s="48" t="n">
        <v>125</v>
      </c>
      <c r="D1574" s="49" t="inlineStr">
        <is>
          <t>Nicho</t>
        </is>
      </c>
      <c r="E1574" s="50" t="n">
        <v>260</v>
      </c>
      <c r="F1574" s="51">
        <f>E1574*$B$5*(1+$B$6)</f>
        <v>338000</v>
      </c>
      <c r="G1574" s="51">
        <f>F1574*$B$7</f>
        <v>845000</v>
      </c>
      <c r="H1574" s="51">
        <f>G1574-F1574</f>
        <v>507000</v>
      </c>
      <c r="I1574" s="52">
        <f>H1574/G1574</f>
        <v>0.6</v>
      </c>
      <c r="J1574" s="53" t="n"/>
      <c r="K1574" s="54" t="n"/>
    </row>
    <row r="1575">
      <c r="A1575" s="39" t="inlineStr">
        <is>
          <t>Parfums de Marly</t>
        </is>
      </c>
      <c r="B1575" s="47" t="inlineStr">
        <is>
          <t>PARFUMS DE MARLY HEROD EDP 125ML</t>
        </is>
      </c>
      <c r="C1575" s="48" t="n">
        <v>125</v>
      </c>
      <c r="D1575" s="49" t="inlineStr">
        <is>
          <t>Nicho</t>
        </is>
      </c>
      <c r="E1575" s="50" t="n">
        <v>206</v>
      </c>
      <c r="F1575" s="51">
        <f>E1575*$B$5*(1+$B$6)</f>
        <v>267800</v>
      </c>
      <c r="G1575" s="51">
        <f>F1575*$B$7</f>
        <v>669500</v>
      </c>
      <c r="H1575" s="51">
        <f>G1575-F1575</f>
        <v>401700</v>
      </c>
      <c r="I1575" s="52">
        <f>H1575/G1575</f>
        <v>0.6</v>
      </c>
      <c r="J1575" s="53" t="n"/>
      <c r="K1575" s="54" t="n"/>
    </row>
    <row r="1576">
      <c r="A1576" s="39" t="inlineStr">
        <is>
          <t>Parfums de Marly</t>
        </is>
      </c>
      <c r="B1576" s="47" t="inlineStr">
        <is>
          <t>PARFUMS DE MARLY KALAN EDP 125ML</t>
        </is>
      </c>
      <c r="C1576" s="48" t="n">
        <v>125</v>
      </c>
      <c r="D1576" s="49" t="inlineStr">
        <is>
          <t>Nicho</t>
        </is>
      </c>
      <c r="E1576" s="50" t="n">
        <v>245</v>
      </c>
      <c r="F1576" s="51">
        <f>E1576*$B$5*(1+$B$6)</f>
        <v>318500</v>
      </c>
      <c r="G1576" s="51">
        <f>F1576*$B$7</f>
        <v>796250</v>
      </c>
      <c r="H1576" s="51">
        <f>G1576-F1576</f>
        <v>477750</v>
      </c>
      <c r="I1576" s="52">
        <f>H1576/G1576</f>
        <v>0.6</v>
      </c>
      <c r="J1576" s="53" t="n"/>
      <c r="K1576" s="54" t="n"/>
    </row>
    <row r="1577">
      <c r="A1577" s="39" t="inlineStr">
        <is>
          <t>Parfums de Marly</t>
        </is>
      </c>
      <c r="B1577" s="47" t="inlineStr">
        <is>
          <t>PARFUMS DE MARLY LAYTON EDP 125ML</t>
        </is>
      </c>
      <c r="C1577" s="48" t="n">
        <v>125</v>
      </c>
      <c r="D1577" s="49" t="inlineStr">
        <is>
          <t>Nicho</t>
        </is>
      </c>
      <c r="E1577" s="50" t="n">
        <v>250</v>
      </c>
      <c r="F1577" s="51">
        <f>E1577*$B$5*(1+$B$6)</f>
        <v>325000</v>
      </c>
      <c r="G1577" s="51">
        <f>F1577*$B$7</f>
        <v>812500</v>
      </c>
      <c r="H1577" s="51">
        <f>G1577-F1577</f>
        <v>487500</v>
      </c>
      <c r="I1577" s="52">
        <f>H1577/G1577</f>
        <v>0.6</v>
      </c>
      <c r="J1577" s="53" t="n"/>
      <c r="K1577" s="54" t="n"/>
    </row>
    <row r="1578">
      <c r="A1578" s="39" t="inlineStr">
        <is>
          <t>Parfums de Marly</t>
        </is>
      </c>
      <c r="B1578" s="47" t="inlineStr">
        <is>
          <t>PARFUMS DE MARLY LAYTON EXCLUSIF PARFUM 125ML</t>
        </is>
      </c>
      <c r="C1578" s="48" t="n">
        <v>125</v>
      </c>
      <c r="D1578" s="49" t="inlineStr">
        <is>
          <t>Nicho</t>
        </is>
      </c>
      <c r="E1578" s="50" t="n">
        <v>280</v>
      </c>
      <c r="F1578" s="51">
        <f>E1578*$B$5*(1+$B$6)</f>
        <v>364000</v>
      </c>
      <c r="G1578" s="51">
        <f>F1578*$B$7</f>
        <v>910000</v>
      </c>
      <c r="H1578" s="51">
        <f>G1578-F1578</f>
        <v>546000</v>
      </c>
      <c r="I1578" s="52">
        <f>H1578/G1578</f>
        <v>0.6</v>
      </c>
      <c r="J1578" s="53" t="n"/>
      <c r="K1578" s="54" t="n"/>
    </row>
    <row r="1579">
      <c r="A1579" s="39" t="inlineStr">
        <is>
          <t>Parfums de Marly</t>
        </is>
      </c>
      <c r="B1579" s="47" t="inlineStr">
        <is>
          <t>PARFUMS DE MARLY MELIORA EDP 75ML</t>
        </is>
      </c>
      <c r="C1579" s="48" t="n">
        <v>75</v>
      </c>
      <c r="D1579" s="49" t="inlineStr">
        <is>
          <t>Nicho</t>
        </is>
      </c>
      <c r="E1579" s="50" t="n">
        <v>280</v>
      </c>
      <c r="F1579" s="51">
        <f>E1579*$B$5*(1+$B$6)</f>
        <v>364000</v>
      </c>
      <c r="G1579" s="51">
        <f>F1579*$B$7</f>
        <v>910000</v>
      </c>
      <c r="H1579" s="51">
        <f>G1579-F1579</f>
        <v>546000</v>
      </c>
      <c r="I1579" s="52">
        <f>H1579/G1579</f>
        <v>0.6</v>
      </c>
      <c r="J1579" s="53" t="n"/>
      <c r="K1579" s="54" t="n"/>
    </row>
    <row r="1580">
      <c r="A1580" s="39" t="inlineStr">
        <is>
          <t>Parfums de Marly</t>
        </is>
      </c>
      <c r="B1580" s="47" t="inlineStr">
        <is>
          <t>PARFUMS DE MARLY PALATINE EDP 75ML</t>
        </is>
      </c>
      <c r="C1580" s="48" t="n">
        <v>75</v>
      </c>
      <c r="D1580" s="49" t="inlineStr">
        <is>
          <t>Nicho</t>
        </is>
      </c>
      <c r="E1580" s="50" t="n">
        <v>227</v>
      </c>
      <c r="F1580" s="51">
        <f>E1580*$B$5*(1+$B$6)</f>
        <v>295100</v>
      </c>
      <c r="G1580" s="51">
        <f>F1580*$B$7</f>
        <v>737750</v>
      </c>
      <c r="H1580" s="51">
        <f>G1580-F1580</f>
        <v>442650</v>
      </c>
      <c r="I1580" s="52">
        <f>H1580/G1580</f>
        <v>0.6</v>
      </c>
      <c r="J1580" s="53" t="n"/>
      <c r="K1580" s="54" t="n"/>
    </row>
    <row r="1581">
      <c r="A1581" s="39" t="inlineStr">
        <is>
          <t>Parfums de Marly</t>
        </is>
      </c>
      <c r="B1581" s="47" t="inlineStr">
        <is>
          <t>PARFUMS DE MARLY PEGASUS EDP 125ML MASC</t>
        </is>
      </c>
      <c r="C1581" s="48" t="n">
        <v>125</v>
      </c>
      <c r="D1581" s="49" t="inlineStr">
        <is>
          <t>Nicho</t>
        </is>
      </c>
      <c r="E1581" s="50" t="n">
        <v>225</v>
      </c>
      <c r="F1581" s="51">
        <f>E1581*$B$5*(1+$B$6)</f>
        <v>292500</v>
      </c>
      <c r="G1581" s="51">
        <f>F1581*$B$7</f>
        <v>731250</v>
      </c>
      <c r="H1581" s="51">
        <f>G1581-F1581</f>
        <v>438750</v>
      </c>
      <c r="I1581" s="52">
        <f>H1581/G1581</f>
        <v>0.6</v>
      </c>
      <c r="J1581" s="53" t="n"/>
      <c r="K1581" s="54" t="n"/>
    </row>
    <row r="1582">
      <c r="A1582" s="39" t="inlineStr">
        <is>
          <t>Parfums de Marly</t>
        </is>
      </c>
      <c r="B1582" s="47" t="inlineStr">
        <is>
          <t>PARFUMS DE MARLY PEGASUS EXCLUSIF PARFUM 125ML MASC</t>
        </is>
      </c>
      <c r="C1582" s="48" t="n">
        <v>125</v>
      </c>
      <c r="D1582" s="49" t="inlineStr">
        <is>
          <t>Nicho</t>
        </is>
      </c>
      <c r="E1582" s="50" t="n">
        <v>240</v>
      </c>
      <c r="F1582" s="51">
        <f>E1582*$B$5*(1+$B$6)</f>
        <v>312000</v>
      </c>
      <c r="G1582" s="51">
        <f>F1582*$B$7</f>
        <v>780000</v>
      </c>
      <c r="H1582" s="51">
        <f>G1582-F1582</f>
        <v>468000</v>
      </c>
      <c r="I1582" s="52">
        <f>H1582/G1582</f>
        <v>0.6</v>
      </c>
      <c r="J1582" s="53" t="n"/>
      <c r="K1582" s="54" t="n"/>
    </row>
    <row r="1583">
      <c r="A1583" s="39" t="inlineStr">
        <is>
          <t>Parfums de Marly</t>
        </is>
      </c>
      <c r="B1583" s="47" t="inlineStr">
        <is>
          <t>PARFUMS DE MARLY SEDLEY EDP 125ML</t>
        </is>
      </c>
      <c r="C1583" s="48" t="n">
        <v>125</v>
      </c>
      <c r="D1583" s="49" t="inlineStr">
        <is>
          <t>Nicho</t>
        </is>
      </c>
      <c r="E1583" s="50" t="n">
        <v>270</v>
      </c>
      <c r="F1583" s="51">
        <f>E1583*$B$5*(1+$B$6)</f>
        <v>351000</v>
      </c>
      <c r="G1583" s="51">
        <f>F1583*$B$7</f>
        <v>877500</v>
      </c>
      <c r="H1583" s="51">
        <f>G1583-F1583</f>
        <v>526500</v>
      </c>
      <c r="I1583" s="52">
        <f>H1583/G1583</f>
        <v>0.6</v>
      </c>
      <c r="J1583" s="53" t="n"/>
      <c r="K1583" s="54" t="n"/>
    </row>
    <row r="1584">
      <c r="A1584" s="39" t="inlineStr">
        <is>
          <t>Parfums de Marly</t>
        </is>
      </c>
      <c r="B1584" s="47" t="inlineStr">
        <is>
          <t>PARFUMS DE MARLY VALAYA EXCLUSIF PARFUM 75ML FEM</t>
        </is>
      </c>
      <c r="C1584" s="48" t="n">
        <v>75</v>
      </c>
      <c r="D1584" s="49" t="inlineStr">
        <is>
          <t>Nicho</t>
        </is>
      </c>
      <c r="E1584" s="50" t="n">
        <v>270</v>
      </c>
      <c r="F1584" s="51">
        <f>E1584*$B$5*(1+$B$6)</f>
        <v>351000</v>
      </c>
      <c r="G1584" s="51">
        <f>F1584*$B$7</f>
        <v>877500</v>
      </c>
      <c r="H1584" s="51">
        <f>G1584-F1584</f>
        <v>526500</v>
      </c>
      <c r="I1584" s="52">
        <f>H1584/G1584</f>
        <v>0.6</v>
      </c>
      <c r="J1584" s="53" t="n"/>
      <c r="K1584" s="54" t="n"/>
    </row>
    <row r="1585">
      <c r="A1585" s="39" t="inlineStr">
        <is>
          <t>Parfums de Marly</t>
        </is>
      </c>
      <c r="B1585" s="47" t="inlineStr">
        <is>
          <t>TESTER PARFUMS DE MARLY DELINA EDP 75ML</t>
        </is>
      </c>
      <c r="C1585" s="48" t="n">
        <v>75</v>
      </c>
      <c r="D1585" s="49" t="inlineStr">
        <is>
          <t>Tester</t>
        </is>
      </c>
      <c r="E1585" s="50" t="n">
        <v>215</v>
      </c>
      <c r="F1585" s="51">
        <f>E1585*$B$5*(1+$B$6)</f>
        <v>279500</v>
      </c>
      <c r="G1585" s="51">
        <f>F1585*$B$7</f>
        <v>698750</v>
      </c>
      <c r="H1585" s="51">
        <f>G1585-F1585</f>
        <v>419250</v>
      </c>
      <c r="I1585" s="52">
        <f>H1585/G1585</f>
        <v>0.6</v>
      </c>
      <c r="J1585" s="53" t="n"/>
      <c r="K1585" s="54" t="n"/>
    </row>
    <row r="1586">
      <c r="A1586" s="39" t="inlineStr">
        <is>
          <t>Parfums de Marly</t>
        </is>
      </c>
      <c r="B1586" s="47" t="inlineStr">
        <is>
          <t>TESTER PARFUMS DE MARLY GREENLEY EDP 125ML</t>
        </is>
      </c>
      <c r="C1586" s="48" t="n">
        <v>125</v>
      </c>
      <c r="D1586" s="49" t="inlineStr">
        <is>
          <t>Tester</t>
        </is>
      </c>
      <c r="E1586" s="50" t="n">
        <v>230</v>
      </c>
      <c r="F1586" s="51">
        <f>E1586*$B$5*(1+$B$6)</f>
        <v>299000</v>
      </c>
      <c r="G1586" s="51">
        <f>F1586*$B$7</f>
        <v>747500</v>
      </c>
      <c r="H1586" s="51">
        <f>G1586-F1586</f>
        <v>448500</v>
      </c>
      <c r="I1586" s="52">
        <f>H1586/G1586</f>
        <v>0.6</v>
      </c>
      <c r="J1586" s="53" t="n"/>
      <c r="K1586" s="54" t="n"/>
    </row>
    <row r="1587">
      <c r="A1587" s="39" t="inlineStr">
        <is>
          <t>Parfums de Marly</t>
        </is>
      </c>
      <c r="B1587" s="47" t="inlineStr">
        <is>
          <t>TESTER PARFUMS DE MARLY VALAYA EXCLUSIF EDP 75ML FEM</t>
        </is>
      </c>
      <c r="C1587" s="48" t="n">
        <v>75</v>
      </c>
      <c r="D1587" s="49" t="inlineStr">
        <is>
          <t>Tester</t>
        </is>
      </c>
      <c r="E1587" s="50" t="n">
        <v>250</v>
      </c>
      <c r="F1587" s="51">
        <f>E1587*$B$5*(1+$B$6)</f>
        <v>325000</v>
      </c>
      <c r="G1587" s="51">
        <f>F1587*$B$7</f>
        <v>812500</v>
      </c>
      <c r="H1587" s="51">
        <f>G1587-F1587</f>
        <v>487500</v>
      </c>
      <c r="I1587" s="52">
        <f>H1587/G1587</f>
        <v>0.6</v>
      </c>
      <c r="J1587" s="53" t="n"/>
      <c r="K1587" s="54" t="n"/>
    </row>
    <row r="1588">
      <c r="A1588" s="39" t="inlineStr">
        <is>
          <t>Paris Corner</t>
        </is>
      </c>
      <c r="B1588" s="47" t="inlineStr">
        <is>
          <t>PARIS CORNER FAYORA 100ML</t>
        </is>
      </c>
      <c r="C1588" s="48" t="n">
        <v>100</v>
      </c>
      <c r="D1588" s="49" t="inlineStr">
        <is>
          <t>Árabe</t>
        </is>
      </c>
      <c r="E1588" s="50" t="n">
        <v>30</v>
      </c>
      <c r="F1588" s="51">
        <f>E1588*$B$5*(1+$B$6)</f>
        <v>39000</v>
      </c>
      <c r="G1588" s="51">
        <f>F1588*$B$7</f>
        <v>97500</v>
      </c>
      <c r="H1588" s="51">
        <f>G1588-F1588</f>
        <v>58500</v>
      </c>
      <c r="I1588" s="52">
        <f>H1588/G1588</f>
        <v>0.6</v>
      </c>
      <c r="J1588" s="53" t="n"/>
      <c r="K1588" s="54" t="inlineStr">
        <is>
          <t>clon/genérico</t>
        </is>
      </c>
    </row>
    <row r="1589">
      <c r="A1589" s="39" t="inlineStr">
        <is>
          <t>Paris Corner</t>
        </is>
      </c>
      <c r="B1589" s="47" t="inlineStr">
        <is>
          <t>PARIS CORNER FAYORA OSHINO 100ML</t>
        </is>
      </c>
      <c r="C1589" s="48" t="n">
        <v>100</v>
      </c>
      <c r="D1589" s="49" t="inlineStr">
        <is>
          <t>Árabe</t>
        </is>
      </c>
      <c r="E1589" s="50" t="n">
        <v>29</v>
      </c>
      <c r="F1589" s="51">
        <f>E1589*$B$5*(1+$B$6)</f>
        <v>37700</v>
      </c>
      <c r="G1589" s="51">
        <f>F1589*$B$7</f>
        <v>94250</v>
      </c>
      <c r="H1589" s="51">
        <f>G1589-F1589</f>
        <v>56550</v>
      </c>
      <c r="I1589" s="52">
        <f>H1589/G1589</f>
        <v>0.6</v>
      </c>
      <c r="J1589" s="53" t="n"/>
      <c r="K1589" s="54" t="inlineStr">
        <is>
          <t>clon/genérico</t>
        </is>
      </c>
    </row>
    <row r="1590">
      <c r="A1590" s="39" t="inlineStr">
        <is>
          <t>Paris Corner</t>
        </is>
      </c>
      <c r="B1590" s="47" t="inlineStr">
        <is>
          <t>PARIS CORNER MARSHMALLOW BLUSH EDP 100ML</t>
        </is>
      </c>
      <c r="C1590" s="48" t="n">
        <v>100</v>
      </c>
      <c r="D1590" s="49" t="inlineStr">
        <is>
          <t>Árabe</t>
        </is>
      </c>
      <c r="E1590" s="50" t="n">
        <v>28</v>
      </c>
      <c r="F1590" s="51">
        <f>E1590*$B$5*(1+$B$6)</f>
        <v>36400</v>
      </c>
      <c r="G1590" s="51">
        <f>F1590*$B$7</f>
        <v>91000</v>
      </c>
      <c r="H1590" s="51">
        <f>G1590-F1590</f>
        <v>54600</v>
      </c>
      <c r="I1590" s="52">
        <f>H1590/G1590</f>
        <v>0.6</v>
      </c>
      <c r="J1590" s="53" t="n"/>
      <c r="K1590" s="54" t="inlineStr">
        <is>
          <t>clon/genérico</t>
        </is>
      </c>
    </row>
    <row r="1591">
      <c r="A1591" s="39" t="inlineStr">
        <is>
          <t>Paris Corner</t>
        </is>
      </c>
      <c r="B1591" s="47" t="inlineStr">
        <is>
          <t>PARIS CORNER MAWJ APPLETINI 100ML</t>
        </is>
      </c>
      <c r="C1591" s="48" t="n">
        <v>100</v>
      </c>
      <c r="D1591" s="49" t="inlineStr">
        <is>
          <t>Árabe</t>
        </is>
      </c>
      <c r="E1591" s="50" t="n">
        <v>25</v>
      </c>
      <c r="F1591" s="51">
        <f>E1591*$B$5*(1+$B$6)</f>
        <v>32500</v>
      </c>
      <c r="G1591" s="51">
        <f>F1591*$B$7</f>
        <v>81250</v>
      </c>
      <c r="H1591" s="51">
        <f>G1591-F1591</f>
        <v>48750</v>
      </c>
      <c r="I1591" s="52">
        <f>H1591/G1591</f>
        <v>0.6</v>
      </c>
      <c r="J1591" s="53" t="n"/>
      <c r="K1591" s="54" t="inlineStr">
        <is>
          <t>clon/genérico</t>
        </is>
      </c>
    </row>
    <row r="1592">
      <c r="A1592" s="39" t="inlineStr">
        <is>
          <t>Paris Corner</t>
        </is>
      </c>
      <c r="B1592" s="47" t="inlineStr">
        <is>
          <t>PARIS CORNER MAWJ MOSCOW MULE 100ML</t>
        </is>
      </c>
      <c r="C1592" s="48" t="n">
        <v>100</v>
      </c>
      <c r="D1592" s="49" t="inlineStr">
        <is>
          <t>Árabe</t>
        </is>
      </c>
      <c r="E1592" s="50" t="n">
        <v>26</v>
      </c>
      <c r="F1592" s="51">
        <f>E1592*$B$5*(1+$B$6)</f>
        <v>33800</v>
      </c>
      <c r="G1592" s="51">
        <f>F1592*$B$7</f>
        <v>84500</v>
      </c>
      <c r="H1592" s="51">
        <f>G1592-F1592</f>
        <v>50700</v>
      </c>
      <c r="I1592" s="52">
        <f>H1592/G1592</f>
        <v>0.6</v>
      </c>
      <c r="J1592" s="53" t="n"/>
      <c r="K1592" s="54" t="inlineStr">
        <is>
          <t>clon/genérico</t>
        </is>
      </c>
    </row>
    <row r="1593">
      <c r="A1593" s="39" t="inlineStr">
        <is>
          <t>Paris Corner</t>
        </is>
      </c>
      <c r="B1593" s="47" t="inlineStr">
        <is>
          <t>PARIS CORNER OPHIDIAN MANGO BLISS 100ML</t>
        </is>
      </c>
      <c r="C1593" s="48" t="n">
        <v>100</v>
      </c>
      <c r="D1593" s="49" t="inlineStr">
        <is>
          <t>Árabe</t>
        </is>
      </c>
      <c r="E1593" s="50" t="n">
        <v>27</v>
      </c>
      <c r="F1593" s="51">
        <f>E1593*$B$5*(1+$B$6)</f>
        <v>35100</v>
      </c>
      <c r="G1593" s="51">
        <f>F1593*$B$7</f>
        <v>87750</v>
      </c>
      <c r="H1593" s="51">
        <f>G1593-F1593</f>
        <v>52650</v>
      </c>
      <c r="I1593" s="52">
        <f>H1593/G1593</f>
        <v>0.6</v>
      </c>
      <c r="J1593" s="53" t="n"/>
      <c r="K1593" s="54" t="inlineStr">
        <is>
          <t>clon/genérico</t>
        </is>
      </c>
    </row>
    <row r="1594">
      <c r="A1594" s="39" t="inlineStr">
        <is>
          <t>Paris Corner</t>
        </is>
      </c>
      <c r="B1594" s="47" t="inlineStr">
        <is>
          <t>PARIS CORNER VOUX ELEGANTE 100ML</t>
        </is>
      </c>
      <c r="C1594" s="48" t="n">
        <v>100</v>
      </c>
      <c r="D1594" s="49" t="inlineStr">
        <is>
          <t>Árabe</t>
        </is>
      </c>
      <c r="E1594" s="50" t="n">
        <v>26</v>
      </c>
      <c r="F1594" s="51">
        <f>E1594*$B$5*(1+$B$6)</f>
        <v>33800</v>
      </c>
      <c r="G1594" s="51">
        <f>F1594*$B$7</f>
        <v>84500</v>
      </c>
      <c r="H1594" s="51">
        <f>G1594-F1594</f>
        <v>50700</v>
      </c>
      <c r="I1594" s="52">
        <f>H1594/G1594</f>
        <v>0.6</v>
      </c>
      <c r="J1594" s="53" t="n"/>
      <c r="K1594" s="54" t="inlineStr">
        <is>
          <t>clon/genérico</t>
        </is>
      </c>
    </row>
    <row r="1595">
      <c r="A1595" s="39" t="inlineStr">
        <is>
          <t>Paris Corner</t>
        </is>
      </c>
      <c r="B1595" s="47" t="inlineStr">
        <is>
          <t>PARIS CORNER VOUX TURQUOISE 100ML</t>
        </is>
      </c>
      <c r="C1595" s="48" t="n">
        <v>100</v>
      </c>
      <c r="D1595" s="49" t="inlineStr">
        <is>
          <t>Árabe</t>
        </is>
      </c>
      <c r="E1595" s="50" t="n">
        <v>27</v>
      </c>
      <c r="F1595" s="51">
        <f>E1595*$B$5*(1+$B$6)</f>
        <v>35100</v>
      </c>
      <c r="G1595" s="51">
        <f>F1595*$B$7</f>
        <v>87750</v>
      </c>
      <c r="H1595" s="51">
        <f>G1595-F1595</f>
        <v>52650</v>
      </c>
      <c r="I1595" s="52">
        <f>H1595/G1595</f>
        <v>0.6</v>
      </c>
      <c r="J1595" s="53" t="n"/>
      <c r="K1595" s="54" t="inlineStr">
        <is>
          <t>clon/genérico</t>
        </is>
      </c>
    </row>
    <row r="1596">
      <c r="A1596" s="39" t="inlineStr">
        <is>
          <t>Paris Corner</t>
        </is>
      </c>
      <c r="B1596" s="47" t="inlineStr">
        <is>
          <t>PARIS CORNER VOUX ZINGY EDP 100ML</t>
        </is>
      </c>
      <c r="C1596" s="48" t="n">
        <v>100</v>
      </c>
      <c r="D1596" s="49" t="inlineStr">
        <is>
          <t>Árabe</t>
        </is>
      </c>
      <c r="E1596" s="50" t="n">
        <v>26</v>
      </c>
      <c r="F1596" s="51">
        <f>E1596*$B$5*(1+$B$6)</f>
        <v>33800</v>
      </c>
      <c r="G1596" s="51">
        <f>F1596*$B$7</f>
        <v>84500</v>
      </c>
      <c r="H1596" s="51">
        <f>G1596-F1596</f>
        <v>50700</v>
      </c>
      <c r="I1596" s="52">
        <f>H1596/G1596</f>
        <v>0.6</v>
      </c>
      <c r="J1596" s="53" t="n"/>
      <c r="K1596" s="54" t="inlineStr">
        <is>
          <t>clon/genérico</t>
        </is>
      </c>
    </row>
    <row r="1597">
      <c r="A1597" s="39" t="inlineStr">
        <is>
          <t>Prada</t>
        </is>
      </c>
      <c r="B1597" s="47" t="inlineStr">
        <is>
          <t>PRADA AMBER POUR HOMME EDT 100ML</t>
        </is>
      </c>
      <c r="C1597" s="48" t="n">
        <v>100</v>
      </c>
      <c r="D1597" s="49" t="inlineStr">
        <is>
          <t>Diseñador</t>
        </is>
      </c>
      <c r="E1597" s="50" t="n">
        <v>84</v>
      </c>
      <c r="F1597" s="51">
        <f>E1597*$B$5*(1+$B$6)</f>
        <v>109200</v>
      </c>
      <c r="G1597" s="51">
        <f>F1597*$B$7</f>
        <v>273000</v>
      </c>
      <c r="H1597" s="51">
        <f>G1597-F1597</f>
        <v>163800</v>
      </c>
      <c r="I1597" s="52">
        <f>H1597/G1597</f>
        <v>0.6</v>
      </c>
      <c r="J1597" s="53" t="n"/>
      <c r="K1597" s="54" t="n"/>
    </row>
    <row r="1598">
      <c r="A1598" s="39" t="inlineStr">
        <is>
          <t>Prada</t>
        </is>
      </c>
      <c r="B1598" s="47" t="inlineStr">
        <is>
          <t>PRADA L'HOMME MILANO INTENSE EDP 100ML MASC</t>
        </is>
      </c>
      <c r="C1598" s="48" t="n">
        <v>100</v>
      </c>
      <c r="D1598" s="49" t="inlineStr">
        <is>
          <t>Diseñador</t>
        </is>
      </c>
      <c r="E1598" s="50" t="n">
        <v>85</v>
      </c>
      <c r="F1598" s="51">
        <f>E1598*$B$5*(1+$B$6)</f>
        <v>110500</v>
      </c>
      <c r="G1598" s="51">
        <f>F1598*$B$7</f>
        <v>276250</v>
      </c>
      <c r="H1598" s="51">
        <f>G1598-F1598</f>
        <v>165750</v>
      </c>
      <c r="I1598" s="52">
        <f>H1598/G1598</f>
        <v>0.6</v>
      </c>
      <c r="J1598" s="53" t="n"/>
      <c r="K1598" s="54" t="n"/>
    </row>
    <row r="1599">
      <c r="A1599" s="39" t="inlineStr">
        <is>
          <t>Prada</t>
        </is>
      </c>
      <c r="B1599" s="47" t="inlineStr">
        <is>
          <t>PRADA LA FEMME INTENSE EDP 100ML FEM</t>
        </is>
      </c>
      <c r="C1599" s="48" t="n">
        <v>100</v>
      </c>
      <c r="D1599" s="49" t="inlineStr">
        <is>
          <t>Diseñador</t>
        </is>
      </c>
      <c r="E1599" s="50" t="n">
        <v>97</v>
      </c>
      <c r="F1599" s="51">
        <f>E1599*$B$5*(1+$B$6)</f>
        <v>126100</v>
      </c>
      <c r="G1599" s="51">
        <f>F1599*$B$7</f>
        <v>315250</v>
      </c>
      <c r="H1599" s="51">
        <f>G1599-F1599</f>
        <v>189150</v>
      </c>
      <c r="I1599" s="52">
        <f>H1599/G1599</f>
        <v>0.6</v>
      </c>
      <c r="J1599" s="53" t="n"/>
      <c r="K1599" s="54" t="n"/>
    </row>
    <row r="1600">
      <c r="A1600" s="39" t="inlineStr">
        <is>
          <t>Prada</t>
        </is>
      </c>
      <c r="B1600" s="47" t="inlineStr">
        <is>
          <t>PRADA LUNA ROSSA BLACK EDP 100ML</t>
        </is>
      </c>
      <c r="C1600" s="48" t="n">
        <v>100</v>
      </c>
      <c r="D1600" s="49" t="inlineStr">
        <is>
          <t>Diseñador</t>
        </is>
      </c>
      <c r="E1600" s="50" t="n">
        <v>84</v>
      </c>
      <c r="F1600" s="51">
        <f>E1600*$B$5*(1+$B$6)</f>
        <v>109200</v>
      </c>
      <c r="G1600" s="51">
        <f>F1600*$B$7</f>
        <v>273000</v>
      </c>
      <c r="H1600" s="51">
        <f>G1600-F1600</f>
        <v>163800</v>
      </c>
      <c r="I1600" s="52">
        <f>H1600/G1600</f>
        <v>0.6</v>
      </c>
      <c r="J1600" s="53" t="n"/>
      <c r="K1600" s="54" t="n"/>
    </row>
    <row r="1601">
      <c r="A1601" s="39" t="inlineStr">
        <is>
          <t>Prada</t>
        </is>
      </c>
      <c r="B1601" s="47" t="inlineStr">
        <is>
          <t>PRADA LUNA ROSSA BLACK EDP 50ML</t>
        </is>
      </c>
      <c r="C1601" s="48" t="n">
        <v>50</v>
      </c>
      <c r="D1601" s="49" t="inlineStr">
        <is>
          <t>Diseñador</t>
        </is>
      </c>
      <c r="E1601" s="50" t="n">
        <v>73.5</v>
      </c>
      <c r="F1601" s="51">
        <f>E1601*$B$5*(1+$B$6)</f>
        <v>95550</v>
      </c>
      <c r="G1601" s="51">
        <f>F1601*$B$7</f>
        <v>238875</v>
      </c>
      <c r="H1601" s="51">
        <f>G1601-F1601</f>
        <v>143325</v>
      </c>
      <c r="I1601" s="52">
        <f>H1601/G1601</f>
        <v>0.6</v>
      </c>
      <c r="J1601" s="53" t="n"/>
      <c r="K1601" s="54" t="n"/>
    </row>
    <row r="1602">
      <c r="A1602" s="39" t="inlineStr">
        <is>
          <t>Prada</t>
        </is>
      </c>
      <c r="B1602" s="47" t="inlineStr">
        <is>
          <t>PRADA LUNA ROSSA CARBON EDT 100ML MASC</t>
        </is>
      </c>
      <c r="C1602" s="48" t="n">
        <v>100</v>
      </c>
      <c r="D1602" s="49" t="inlineStr">
        <is>
          <t>Diseñador</t>
        </is>
      </c>
      <c r="E1602" s="50" t="n">
        <v>83</v>
      </c>
      <c r="F1602" s="51">
        <f>E1602*$B$5*(1+$B$6)</f>
        <v>107900</v>
      </c>
      <c r="G1602" s="51">
        <f>F1602*$B$7</f>
        <v>269750</v>
      </c>
      <c r="H1602" s="51">
        <f>G1602-F1602</f>
        <v>161850</v>
      </c>
      <c r="I1602" s="52">
        <f>H1602/G1602</f>
        <v>0.6</v>
      </c>
      <c r="J1602" s="53" t="n"/>
      <c r="K1602" s="54" t="n"/>
    </row>
    <row r="1603">
      <c r="A1603" s="39" t="inlineStr">
        <is>
          <t>Prada</t>
        </is>
      </c>
      <c r="B1603" s="47" t="inlineStr">
        <is>
          <t>PRADA LUNA ROSSA EDT 100ML MASC</t>
        </is>
      </c>
      <c r="C1603" s="48" t="n">
        <v>100</v>
      </c>
      <c r="D1603" s="49" t="inlineStr">
        <is>
          <t>Diseñador</t>
        </is>
      </c>
      <c r="E1603" s="50" t="n">
        <v>83.5</v>
      </c>
      <c r="F1603" s="51">
        <f>E1603*$B$5*(1+$B$6)</f>
        <v>108550</v>
      </c>
      <c r="G1603" s="51">
        <f>F1603*$B$7</f>
        <v>271375</v>
      </c>
      <c r="H1603" s="51">
        <f>G1603-F1603</f>
        <v>162825</v>
      </c>
      <c r="I1603" s="52">
        <f>H1603/G1603</f>
        <v>0.6</v>
      </c>
      <c r="J1603" s="53" t="n"/>
      <c r="K1603" s="54" t="n"/>
    </row>
    <row r="1604">
      <c r="A1604" s="39" t="inlineStr">
        <is>
          <t>Prada</t>
        </is>
      </c>
      <c r="B1604" s="47" t="inlineStr">
        <is>
          <t>PRADA LUNA ROSSA EDT 50ML</t>
        </is>
      </c>
      <c r="C1604" s="48" t="n">
        <v>50</v>
      </c>
      <c r="D1604" s="49" t="inlineStr">
        <is>
          <t>Diseñador</t>
        </is>
      </c>
      <c r="E1604" s="50" t="n">
        <v>64</v>
      </c>
      <c r="F1604" s="51">
        <f>E1604*$B$5*(1+$B$6)</f>
        <v>83200</v>
      </c>
      <c r="G1604" s="51">
        <f>F1604*$B$7</f>
        <v>208000</v>
      </c>
      <c r="H1604" s="51">
        <f>G1604-F1604</f>
        <v>124800</v>
      </c>
      <c r="I1604" s="52">
        <f>H1604/G1604</f>
        <v>0.6</v>
      </c>
      <c r="J1604" s="53" t="n"/>
      <c r="K1604" s="54" t="n"/>
    </row>
    <row r="1605">
      <c r="A1605" s="39" t="inlineStr">
        <is>
          <t>Prada</t>
        </is>
      </c>
      <c r="B1605" s="47" t="inlineStr">
        <is>
          <t>PRADA LUNA ROSSA OCEAN EDP 100ML MASC</t>
        </is>
      </c>
      <c r="C1605" s="48" t="n">
        <v>100</v>
      </c>
      <c r="D1605" s="49" t="inlineStr">
        <is>
          <t>Diseñador</t>
        </is>
      </c>
      <c r="E1605" s="50" t="n">
        <v>88</v>
      </c>
      <c r="F1605" s="51">
        <f>E1605*$B$5*(1+$B$6)</f>
        <v>114400</v>
      </c>
      <c r="G1605" s="51">
        <f>F1605*$B$7</f>
        <v>286000</v>
      </c>
      <c r="H1605" s="51">
        <f>G1605-F1605</f>
        <v>171600</v>
      </c>
      <c r="I1605" s="52">
        <f>H1605/G1605</f>
        <v>0.6</v>
      </c>
      <c r="J1605" s="53" t="n"/>
      <c r="K1605" s="54" t="n"/>
    </row>
    <row r="1606">
      <c r="A1606" s="39" t="inlineStr">
        <is>
          <t>Prada</t>
        </is>
      </c>
      <c r="B1606" s="47" t="inlineStr">
        <is>
          <t>PRADA LUNA ROSSA OCEAN EDT 100ML MASC</t>
        </is>
      </c>
      <c r="C1606" s="48" t="n">
        <v>100</v>
      </c>
      <c r="D1606" s="49" t="inlineStr">
        <is>
          <t>Diseñador</t>
        </is>
      </c>
      <c r="E1606" s="50" t="n">
        <v>75</v>
      </c>
      <c r="F1606" s="51">
        <f>E1606*$B$5*(1+$B$6)</f>
        <v>97500</v>
      </c>
      <c r="G1606" s="51">
        <f>F1606*$B$7</f>
        <v>243750</v>
      </c>
      <c r="H1606" s="51">
        <f>G1606-F1606</f>
        <v>146250</v>
      </c>
      <c r="I1606" s="52">
        <f>H1606/G1606</f>
        <v>0.6</v>
      </c>
      <c r="J1606" s="53" t="n"/>
      <c r="K1606" s="54" t="n"/>
    </row>
    <row r="1607">
      <c r="A1607" s="39" t="inlineStr">
        <is>
          <t>Prada</t>
        </is>
      </c>
      <c r="B1607" s="47" t="inlineStr">
        <is>
          <t>PRADA LUNA ROSSA OCEAN LE PARFUM 100ML MASC</t>
        </is>
      </c>
      <c r="C1607" s="48" t="n">
        <v>100</v>
      </c>
      <c r="D1607" s="49" t="inlineStr">
        <is>
          <t>Diseñador</t>
        </is>
      </c>
      <c r="E1607" s="50" t="n">
        <v>105</v>
      </c>
      <c r="F1607" s="51">
        <f>E1607*$B$5*(1+$B$6)</f>
        <v>136500</v>
      </c>
      <c r="G1607" s="51">
        <f>F1607*$B$7</f>
        <v>341250</v>
      </c>
      <c r="H1607" s="51">
        <f>G1607-F1607</f>
        <v>204750</v>
      </c>
      <c r="I1607" s="52">
        <f>H1607/G1607</f>
        <v>0.6</v>
      </c>
      <c r="J1607" s="53" t="n"/>
      <c r="K1607" s="54" t="n"/>
    </row>
    <row r="1608">
      <c r="A1608" s="39" t="inlineStr">
        <is>
          <t>Prada</t>
        </is>
      </c>
      <c r="B1608" s="47" t="inlineStr">
        <is>
          <t>PRADA LUNA ROSSA SPORT EDT 100ML</t>
        </is>
      </c>
      <c r="C1608" s="48" t="n">
        <v>100</v>
      </c>
      <c r="D1608" s="49" t="inlineStr">
        <is>
          <t>Diseñador</t>
        </is>
      </c>
      <c r="E1608" s="50" t="n">
        <v>85</v>
      </c>
      <c r="F1608" s="51">
        <f>E1608*$B$5*(1+$B$6)</f>
        <v>110500</v>
      </c>
      <c r="G1608" s="51">
        <f>F1608*$B$7</f>
        <v>276250</v>
      </c>
      <c r="H1608" s="51">
        <f>G1608-F1608</f>
        <v>165750</v>
      </c>
      <c r="I1608" s="52">
        <f>H1608/G1608</f>
        <v>0.6</v>
      </c>
      <c r="J1608" s="53" t="n"/>
      <c r="K1608" s="54" t="n"/>
    </row>
    <row r="1609">
      <c r="A1609" s="39" t="inlineStr">
        <is>
          <t>Prada</t>
        </is>
      </c>
      <c r="B1609" s="47" t="inlineStr">
        <is>
          <t>PRADA PARADOXE RADICAL ESSENCE PARFUM 90ML</t>
        </is>
      </c>
      <c r="C1609" s="48" t="n">
        <v>90</v>
      </c>
      <c r="D1609" s="49" t="inlineStr">
        <is>
          <t>Diseñador</t>
        </is>
      </c>
      <c r="E1609" s="50" t="n">
        <v>118</v>
      </c>
      <c r="F1609" s="51">
        <f>E1609*$B$5*(1+$B$6)</f>
        <v>153400</v>
      </c>
      <c r="G1609" s="51">
        <f>F1609*$B$7</f>
        <v>383500</v>
      </c>
      <c r="H1609" s="51">
        <f>G1609-F1609</f>
        <v>230100</v>
      </c>
      <c r="I1609" s="52">
        <f>H1609/G1609</f>
        <v>0.6</v>
      </c>
      <c r="J1609" s="53" t="n"/>
      <c r="K1609" s="54" t="n"/>
    </row>
    <row r="1610">
      <c r="A1610" s="39" t="inlineStr">
        <is>
          <t>Prada</t>
        </is>
      </c>
      <c r="B1610" s="47" t="inlineStr">
        <is>
          <t>TESTER PRADA LUNA ROSSA CARBON EDT 100ML</t>
        </is>
      </c>
      <c r="C1610" s="48" t="n">
        <v>100</v>
      </c>
      <c r="D1610" s="49" t="inlineStr">
        <is>
          <t>Tester</t>
        </is>
      </c>
      <c r="E1610" s="50" t="n">
        <v>78</v>
      </c>
      <c r="F1610" s="51">
        <f>E1610*$B$5*(1+$B$6)</f>
        <v>101400</v>
      </c>
      <c r="G1610" s="51">
        <f>F1610*$B$7</f>
        <v>253500</v>
      </c>
      <c r="H1610" s="51">
        <f>G1610-F1610</f>
        <v>152100</v>
      </c>
      <c r="I1610" s="52">
        <f>H1610/G1610</f>
        <v>0.6</v>
      </c>
      <c r="J1610" s="53" t="n"/>
      <c r="K1610" s="54" t="n"/>
    </row>
    <row r="1611">
      <c r="A1611" s="39" t="inlineStr">
        <is>
          <t>Prada</t>
        </is>
      </c>
      <c r="B1611" s="47" t="inlineStr">
        <is>
          <t>TESTER PRADA PARADOXE RADICAL ESSENCE PARFUM 90ML</t>
        </is>
      </c>
      <c r="C1611" s="48" t="n">
        <v>90</v>
      </c>
      <c r="D1611" s="49" t="inlineStr">
        <is>
          <t>Tester</t>
        </is>
      </c>
      <c r="E1611" s="50" t="n">
        <v>108</v>
      </c>
      <c r="F1611" s="51">
        <f>E1611*$B$5*(1+$B$6)</f>
        <v>140400</v>
      </c>
      <c r="G1611" s="51">
        <f>F1611*$B$7</f>
        <v>351000</v>
      </c>
      <c r="H1611" s="51">
        <f>G1611-F1611</f>
        <v>210600</v>
      </c>
      <c r="I1611" s="52">
        <f>H1611/G1611</f>
        <v>0.6</v>
      </c>
      <c r="J1611" s="53" t="n"/>
      <c r="K1611" s="54" t="n"/>
    </row>
    <row r="1612">
      <c r="A1612" s="39" t="inlineStr">
        <is>
          <t>Prada</t>
        </is>
      </c>
      <c r="B1612" s="47" t="inlineStr">
        <is>
          <t>TESTER PRADA PARADOXE VIRTUAL FLOWERS EDP 90ML C/T</t>
        </is>
      </c>
      <c r="C1612" s="48" t="n">
        <v>90</v>
      </c>
      <c r="D1612" s="49" t="inlineStr">
        <is>
          <t>Tester</t>
        </is>
      </c>
      <c r="E1612" s="50" t="n">
        <v>105</v>
      </c>
      <c r="F1612" s="51">
        <f>E1612*$B$5*(1+$B$6)</f>
        <v>136500</v>
      </c>
      <c r="G1612" s="51">
        <f>F1612*$B$7</f>
        <v>341250</v>
      </c>
      <c r="H1612" s="51">
        <f>G1612-F1612</f>
        <v>204750</v>
      </c>
      <c r="I1612" s="52">
        <f>H1612/G1612</f>
        <v>0.6</v>
      </c>
      <c r="J1612" s="53" t="n"/>
      <c r="K1612" s="54" t="n"/>
    </row>
    <row r="1613">
      <c r="A1613" s="39" t="inlineStr">
        <is>
          <t>Ralph Lauren</t>
        </is>
      </c>
      <c r="B1613" s="47" t="inlineStr">
        <is>
          <t>RALPH LAUREN KIT POLO BLACK EDT 125ML + 15ML MASC</t>
        </is>
      </c>
      <c r="C1613" s="48" t="n">
        <v>125</v>
      </c>
      <c r="D1613" s="49" t="inlineStr">
        <is>
          <t>Diseñador</t>
        </is>
      </c>
      <c r="E1613" s="50" t="n">
        <v>70</v>
      </c>
      <c r="F1613" s="51">
        <f>E1613*$B$5*(1+$B$6)</f>
        <v>91000</v>
      </c>
      <c r="G1613" s="51">
        <f>F1613*$B$7</f>
        <v>227500</v>
      </c>
      <c r="H1613" s="51">
        <f>G1613-F1613</f>
        <v>136500</v>
      </c>
      <c r="I1613" s="52">
        <f>H1613/G1613</f>
        <v>0.6</v>
      </c>
      <c r="J1613" s="53" t="n"/>
      <c r="K1613" s="54" t="n"/>
    </row>
    <row r="1614">
      <c r="A1614" s="39" t="inlineStr">
        <is>
          <t>Ralph Lauren</t>
        </is>
      </c>
      <c r="B1614" s="47" t="inlineStr">
        <is>
          <t>RALPH LAUREN POLO COLOGNE INTENSE 237ML</t>
        </is>
      </c>
      <c r="C1614" s="48" t="n">
        <v>237</v>
      </c>
      <c r="D1614" s="49" t="inlineStr">
        <is>
          <t>Diseñador</t>
        </is>
      </c>
      <c r="E1614" s="50" t="n">
        <v>60</v>
      </c>
      <c r="F1614" s="51">
        <f>E1614*$B$5*(1+$B$6)</f>
        <v>78000</v>
      </c>
      <c r="G1614" s="51">
        <f>F1614*$B$7</f>
        <v>195000</v>
      </c>
      <c r="H1614" s="51">
        <f>G1614-F1614</f>
        <v>117000</v>
      </c>
      <c r="I1614" s="52">
        <f>H1614/G1614</f>
        <v>0.6</v>
      </c>
      <c r="J1614" s="53" t="n"/>
      <c r="K1614" s="54" t="n"/>
    </row>
    <row r="1615">
      <c r="A1615" s="39" t="inlineStr">
        <is>
          <t>Ralph Lauren</t>
        </is>
      </c>
      <c r="B1615" s="47" t="inlineStr">
        <is>
          <t>RALPH LAUREN POLO RED EDP 200ML MASC</t>
        </is>
      </c>
      <c r="C1615" s="48" t="n">
        <v>200</v>
      </c>
      <c r="D1615" s="49" t="inlineStr">
        <is>
          <t>Diseñador</t>
        </is>
      </c>
      <c r="E1615" s="50" t="n">
        <v>58</v>
      </c>
      <c r="F1615" s="51">
        <f>E1615*$B$5*(1+$B$6)</f>
        <v>75400</v>
      </c>
      <c r="G1615" s="51">
        <f>F1615*$B$7</f>
        <v>188500</v>
      </c>
      <c r="H1615" s="51">
        <f>G1615-F1615</f>
        <v>113100</v>
      </c>
      <c r="I1615" s="52">
        <f>H1615/G1615</f>
        <v>0.6</v>
      </c>
      <c r="J1615" s="53" t="n"/>
      <c r="K1615" s="54" t="n"/>
    </row>
    <row r="1616">
      <c r="A1616" s="39" t="inlineStr">
        <is>
          <t>Ralph Lauren</t>
        </is>
      </c>
      <c r="B1616" s="47" t="inlineStr">
        <is>
          <t>RALPH LAUREN ROMANCE EDP 100ML FEM</t>
        </is>
      </c>
      <c r="C1616" s="48" t="n">
        <v>100</v>
      </c>
      <c r="D1616" s="49" t="inlineStr">
        <is>
          <t>Diseñador</t>
        </is>
      </c>
      <c r="E1616" s="50" t="n">
        <v>50</v>
      </c>
      <c r="F1616" s="51">
        <f>E1616*$B$5*(1+$B$6)</f>
        <v>65000</v>
      </c>
      <c r="G1616" s="51">
        <f>F1616*$B$7</f>
        <v>162500</v>
      </c>
      <c r="H1616" s="51">
        <f>G1616-F1616</f>
        <v>97500</v>
      </c>
      <c r="I1616" s="52">
        <f>H1616/G1616</f>
        <v>0.6</v>
      </c>
      <c r="J1616" s="53" t="n"/>
      <c r="K1616" s="54" t="n"/>
    </row>
    <row r="1617">
      <c r="A1617" s="39" t="inlineStr">
        <is>
          <t>Ralph Lauren</t>
        </is>
      </c>
      <c r="B1617" s="47" t="inlineStr">
        <is>
          <t>RALPH LAUREN ROMANCE EDP INTENSE 100ML FEM</t>
        </is>
      </c>
      <c r="C1617" s="48" t="n">
        <v>100</v>
      </c>
      <c r="D1617" s="49" t="inlineStr">
        <is>
          <t>Diseñador</t>
        </is>
      </c>
      <c r="E1617" s="50" t="n">
        <v>55</v>
      </c>
      <c r="F1617" s="51">
        <f>E1617*$B$5*(1+$B$6)</f>
        <v>71500</v>
      </c>
      <c r="G1617" s="51">
        <f>F1617*$B$7</f>
        <v>178750</v>
      </c>
      <c r="H1617" s="51">
        <f>G1617-F1617</f>
        <v>107250</v>
      </c>
      <c r="I1617" s="52">
        <f>H1617/G1617</f>
        <v>0.6</v>
      </c>
      <c r="J1617" s="53" t="n"/>
      <c r="K1617" s="54" t="n"/>
    </row>
    <row r="1618">
      <c r="A1618" s="39" t="inlineStr">
        <is>
          <t>Ralph Lauren</t>
        </is>
      </c>
      <c r="B1618" s="47" t="inlineStr">
        <is>
          <t>RALPH LAUREN SAFARI EDT 125ML</t>
        </is>
      </c>
      <c r="C1618" s="48" t="n">
        <v>125</v>
      </c>
      <c r="D1618" s="49" t="inlineStr">
        <is>
          <t>Diseñador</t>
        </is>
      </c>
      <c r="E1618" s="50" t="n">
        <v>50</v>
      </c>
      <c r="F1618" s="51">
        <f>E1618*$B$5*(1+$B$6)</f>
        <v>65000</v>
      </c>
      <c r="G1618" s="51">
        <f>F1618*$B$7</f>
        <v>162500</v>
      </c>
      <c r="H1618" s="51">
        <f>G1618-F1618</f>
        <v>97500</v>
      </c>
      <c r="I1618" s="52">
        <f>H1618/G1618</f>
        <v>0.6</v>
      </c>
      <c r="J1618" s="53" t="n"/>
      <c r="K1618" s="54" t="n"/>
    </row>
    <row r="1619">
      <c r="A1619" s="39" t="inlineStr">
        <is>
          <t>Rasasi</t>
        </is>
      </c>
      <c r="B1619" s="47" t="inlineStr">
        <is>
          <t>Hawas London EDP</t>
        </is>
      </c>
      <c r="C1619" s="48" t="n">
        <v>100</v>
      </c>
      <c r="D1619" s="49" t="inlineStr">
        <is>
          <t>Árabe</t>
        </is>
      </c>
      <c r="E1619" s="50" t="n">
        <v>34</v>
      </c>
      <c r="F1619" s="51">
        <f>E1619*$B$5*(1+$B$6)</f>
        <v>44200</v>
      </c>
      <c r="G1619" s="51">
        <f>F1619*$B$7</f>
        <v>110500</v>
      </c>
      <c r="H1619" s="51">
        <f>G1619-F1619</f>
        <v>66300</v>
      </c>
      <c r="I1619" s="52">
        <f>H1619/G1619</f>
        <v>0.6</v>
      </c>
      <c r="J1619" s="53" t="n">
        <v>75000</v>
      </c>
      <c r="K1619" s="54" t="inlineStr">
        <is>
          <t>AR ~$60-100k segun vendedor</t>
        </is>
      </c>
    </row>
    <row r="1620">
      <c r="A1620" s="39" t="inlineStr">
        <is>
          <t>Rasasi</t>
        </is>
      </c>
      <c r="B1620" s="47" t="inlineStr">
        <is>
          <t>RASASI ALIZA AFREEN EDP 80ML</t>
        </is>
      </c>
      <c r="C1620" s="48" t="n">
        <v>80</v>
      </c>
      <c r="D1620" s="49" t="inlineStr">
        <is>
          <t>Árabe</t>
        </is>
      </c>
      <c r="E1620" s="50" t="n">
        <v>18.5</v>
      </c>
      <c r="F1620" s="51">
        <f>E1620*$B$5*(1+$B$6)</f>
        <v>24050</v>
      </c>
      <c r="G1620" s="51">
        <f>F1620*$B$7</f>
        <v>60125</v>
      </c>
      <c r="H1620" s="51">
        <f>G1620-F1620</f>
        <v>36075</v>
      </c>
      <c r="I1620" s="52">
        <f>H1620/G1620</f>
        <v>0.6</v>
      </c>
      <c r="J1620" s="53" t="n"/>
      <c r="K1620" s="54" t="n"/>
    </row>
    <row r="1621">
      <c r="A1621" s="39" t="inlineStr">
        <is>
          <t>Rasasi</t>
        </is>
      </c>
      <c r="B1621" s="47" t="inlineStr">
        <is>
          <t>RASASI ALIZA AIMAN EDP 80ML</t>
        </is>
      </c>
      <c r="C1621" s="48" t="n">
        <v>80</v>
      </c>
      <c r="D1621" s="49" t="inlineStr">
        <is>
          <t>Árabe</t>
        </is>
      </c>
      <c r="E1621" s="50" t="n">
        <v>18.5</v>
      </c>
      <c r="F1621" s="51">
        <f>E1621*$B$5*(1+$B$6)</f>
        <v>24050</v>
      </c>
      <c r="G1621" s="51">
        <f>F1621*$B$7</f>
        <v>60125</v>
      </c>
      <c r="H1621" s="51">
        <f>G1621-F1621</f>
        <v>36075</v>
      </c>
      <c r="I1621" s="52">
        <f>H1621/G1621</f>
        <v>0.6</v>
      </c>
      <c r="J1621" s="53" t="n"/>
      <c r="K1621" s="54" t="n"/>
    </row>
    <row r="1622">
      <c r="A1622" s="39" t="inlineStr">
        <is>
          <t>Rasasi</t>
        </is>
      </c>
      <c r="B1622" s="47" t="inlineStr">
        <is>
          <t>RASASI ALIZA AYZAL EDP 100ML</t>
        </is>
      </c>
      <c r="C1622" s="48" t="n">
        <v>100</v>
      </c>
      <c r="D1622" s="49" t="inlineStr">
        <is>
          <t>Árabe</t>
        </is>
      </c>
      <c r="E1622" s="50" t="n">
        <v>18.5</v>
      </c>
      <c r="F1622" s="51">
        <f>E1622*$B$5*(1+$B$6)</f>
        <v>24050</v>
      </c>
      <c r="G1622" s="51">
        <f>F1622*$B$7</f>
        <v>60125</v>
      </c>
      <c r="H1622" s="51">
        <f>G1622-F1622</f>
        <v>36075</v>
      </c>
      <c r="I1622" s="52">
        <f>H1622/G1622</f>
        <v>0.6</v>
      </c>
      <c r="J1622" s="53" t="n"/>
      <c r="K1622" s="54" t="n"/>
    </row>
    <row r="1623">
      <c r="A1623" s="39" t="inlineStr">
        <is>
          <t>Rasasi</t>
        </is>
      </c>
      <c r="B1623" s="47" t="inlineStr">
        <is>
          <t>RASASI ALIZA FAREEHA EDP 100ML</t>
        </is>
      </c>
      <c r="C1623" s="48" t="n">
        <v>100</v>
      </c>
      <c r="D1623" s="49" t="inlineStr">
        <is>
          <t>Árabe</t>
        </is>
      </c>
      <c r="E1623" s="50" t="n">
        <v>18.5</v>
      </c>
      <c r="F1623" s="51">
        <f>E1623*$B$5*(1+$B$6)</f>
        <v>24050</v>
      </c>
      <c r="G1623" s="51">
        <f>F1623*$B$7</f>
        <v>60125</v>
      </c>
      <c r="H1623" s="51">
        <f>G1623-F1623</f>
        <v>36075</v>
      </c>
      <c r="I1623" s="52">
        <f>H1623/G1623</f>
        <v>0.6</v>
      </c>
      <c r="J1623" s="53" t="n"/>
      <c r="K1623" s="54" t="n"/>
    </row>
    <row r="1624">
      <c r="A1624" s="39" t="inlineStr">
        <is>
          <t>Rasasi</t>
        </is>
      </c>
      <c r="B1624" s="47" t="inlineStr">
        <is>
          <t>RASASI ALIZA JAWAHER EDP 100ML</t>
        </is>
      </c>
      <c r="C1624" s="48" t="n">
        <v>100</v>
      </c>
      <c r="D1624" s="49" t="inlineStr">
        <is>
          <t>Árabe</t>
        </is>
      </c>
      <c r="E1624" s="50" t="n">
        <v>18.5</v>
      </c>
      <c r="F1624" s="51">
        <f>E1624*$B$5*(1+$B$6)</f>
        <v>24050</v>
      </c>
      <c r="G1624" s="51">
        <f>F1624*$B$7</f>
        <v>60125</v>
      </c>
      <c r="H1624" s="51">
        <f>G1624-F1624</f>
        <v>36075</v>
      </c>
      <c r="I1624" s="52">
        <f>H1624/G1624</f>
        <v>0.6</v>
      </c>
      <c r="J1624" s="53" t="n"/>
      <c r="K1624" s="54" t="n"/>
    </row>
    <row r="1625">
      <c r="A1625" s="39" t="inlineStr">
        <is>
          <t>Rasasi</t>
        </is>
      </c>
      <c r="B1625" s="47" t="inlineStr">
        <is>
          <t>RASASI ALIZA MARJAN EDP 75ML</t>
        </is>
      </c>
      <c r="C1625" s="48" t="n">
        <v>75</v>
      </c>
      <c r="D1625" s="49" t="inlineStr">
        <is>
          <t>Árabe</t>
        </is>
      </c>
      <c r="E1625" s="50" t="n">
        <v>18.5</v>
      </c>
      <c r="F1625" s="51">
        <f>E1625*$B$5*(1+$B$6)</f>
        <v>24050</v>
      </c>
      <c r="G1625" s="51">
        <f>F1625*$B$7</f>
        <v>60125</v>
      </c>
      <c r="H1625" s="51">
        <f>G1625-F1625</f>
        <v>36075</v>
      </c>
      <c r="I1625" s="52">
        <f>H1625/G1625</f>
        <v>0.6</v>
      </c>
      <c r="J1625" s="53" t="n"/>
      <c r="K1625" s="54" t="n"/>
    </row>
    <row r="1626">
      <c r="A1626" s="39" t="inlineStr">
        <is>
          <t>Rasasi</t>
        </is>
      </c>
      <c r="B1626" s="47" t="inlineStr">
        <is>
          <t>RASASI ALIZA MUSK AL AMIR EDP 75ML</t>
        </is>
      </c>
      <c r="C1626" s="48" t="n">
        <v>75</v>
      </c>
      <c r="D1626" s="49" t="inlineStr">
        <is>
          <t>Árabe</t>
        </is>
      </c>
      <c r="E1626" s="50" t="n">
        <v>18.5</v>
      </c>
      <c r="F1626" s="51">
        <f>E1626*$B$5*(1+$B$6)</f>
        <v>24050</v>
      </c>
      <c r="G1626" s="51">
        <f>F1626*$B$7</f>
        <v>60125</v>
      </c>
      <c r="H1626" s="51">
        <f>G1626-F1626</f>
        <v>36075</v>
      </c>
      <c r="I1626" s="52">
        <f>H1626/G1626</f>
        <v>0.6</v>
      </c>
      <c r="J1626" s="53" t="n"/>
      <c r="K1626" s="54" t="n"/>
    </row>
    <row r="1627">
      <c r="A1627" s="39" t="inlineStr">
        <is>
          <t>Rasasi</t>
        </is>
      </c>
      <c r="B1627" s="47" t="inlineStr">
        <is>
          <t>RASASI ALIZA MUSK AL FARAZ EDP 100ML</t>
        </is>
      </c>
      <c r="C1627" s="48" t="n">
        <v>100</v>
      </c>
      <c r="D1627" s="49" t="inlineStr">
        <is>
          <t>Árabe</t>
        </is>
      </c>
      <c r="E1627" s="50" t="n">
        <v>18.5</v>
      </c>
      <c r="F1627" s="51">
        <f>E1627*$B$5*(1+$B$6)</f>
        <v>24050</v>
      </c>
      <c r="G1627" s="51">
        <f>F1627*$B$7</f>
        <v>60125</v>
      </c>
      <c r="H1627" s="51">
        <f>G1627-F1627</f>
        <v>36075</v>
      </c>
      <c r="I1627" s="52">
        <f>H1627/G1627</f>
        <v>0.6</v>
      </c>
      <c r="J1627" s="53" t="n"/>
      <c r="K1627" s="54" t="n"/>
    </row>
    <row r="1628">
      <c r="A1628" s="39" t="inlineStr">
        <is>
          <t>Rasasi</t>
        </is>
      </c>
      <c r="B1628" s="47" t="inlineStr">
        <is>
          <t>RASASI ALIZA MUSK AL NUJUM EDP 80ML</t>
        </is>
      </c>
      <c r="C1628" s="48" t="n">
        <v>80</v>
      </c>
      <c r="D1628" s="49" t="inlineStr">
        <is>
          <t>Árabe</t>
        </is>
      </c>
      <c r="E1628" s="50" t="n">
        <v>18.5</v>
      </c>
      <c r="F1628" s="51">
        <f>E1628*$B$5*(1+$B$6)</f>
        <v>24050</v>
      </c>
      <c r="G1628" s="51">
        <f>F1628*$B$7</f>
        <v>60125</v>
      </c>
      <c r="H1628" s="51">
        <f>G1628-F1628</f>
        <v>36075</v>
      </c>
      <c r="I1628" s="52">
        <f>H1628/G1628</f>
        <v>0.6</v>
      </c>
      <c r="J1628" s="53" t="n"/>
      <c r="K1628" s="54" t="n"/>
    </row>
    <row r="1629">
      <c r="A1629" s="39" t="inlineStr">
        <is>
          <t>Rasasi</t>
        </is>
      </c>
      <c r="B1629" s="47" t="inlineStr">
        <is>
          <t>RASASI ALIZA MUSK AL QAMAR EDP 80ML</t>
        </is>
      </c>
      <c r="C1629" s="48" t="n">
        <v>80</v>
      </c>
      <c r="D1629" s="49" t="inlineStr">
        <is>
          <t>Árabe</t>
        </is>
      </c>
      <c r="E1629" s="50" t="n">
        <v>18.5</v>
      </c>
      <c r="F1629" s="51">
        <f>E1629*$B$5*(1+$B$6)</f>
        <v>24050</v>
      </c>
      <c r="G1629" s="51">
        <f>F1629*$B$7</f>
        <v>60125</v>
      </c>
      <c r="H1629" s="51">
        <f>G1629-F1629</f>
        <v>36075</v>
      </c>
      <c r="I1629" s="52">
        <f>H1629/G1629</f>
        <v>0.6</v>
      </c>
      <c r="J1629" s="53" t="n"/>
      <c r="K1629" s="54" t="n"/>
    </row>
    <row r="1630">
      <c r="A1630" s="39" t="inlineStr">
        <is>
          <t>Rasasi</t>
        </is>
      </c>
      <c r="B1630" s="47" t="inlineStr">
        <is>
          <t>RASASI ALIZA MUSK AL SHARARA EDP 100ML</t>
        </is>
      </c>
      <c r="C1630" s="48" t="n">
        <v>100</v>
      </c>
      <c r="D1630" s="49" t="inlineStr">
        <is>
          <t>Árabe</t>
        </is>
      </c>
      <c r="E1630" s="50" t="n">
        <v>18.5</v>
      </c>
      <c r="F1630" s="51">
        <f>E1630*$B$5*(1+$B$6)</f>
        <v>24050</v>
      </c>
      <c r="G1630" s="51">
        <f>F1630*$B$7</f>
        <v>60125</v>
      </c>
      <c r="H1630" s="51">
        <f>G1630-F1630</f>
        <v>36075</v>
      </c>
      <c r="I1630" s="52">
        <f>H1630/G1630</f>
        <v>0.6</v>
      </c>
      <c r="J1630" s="53" t="n"/>
      <c r="K1630" s="54" t="n"/>
    </row>
    <row r="1631">
      <c r="A1631" s="39" t="inlineStr">
        <is>
          <t>Rasasi</t>
        </is>
      </c>
      <c r="B1631" s="47" t="inlineStr">
        <is>
          <t>RASASI ALIZA MUTHIR EDP 100ML</t>
        </is>
      </c>
      <c r="C1631" s="48" t="n">
        <v>100</v>
      </c>
      <c r="D1631" s="49" t="inlineStr">
        <is>
          <t>Árabe</t>
        </is>
      </c>
      <c r="E1631" s="50" t="n">
        <v>18.5</v>
      </c>
      <c r="F1631" s="51">
        <f>E1631*$B$5*(1+$B$6)</f>
        <v>24050</v>
      </c>
      <c r="G1631" s="51">
        <f>F1631*$B$7</f>
        <v>60125</v>
      </c>
      <c r="H1631" s="51">
        <f>G1631-F1631</f>
        <v>36075</v>
      </c>
      <c r="I1631" s="52">
        <f>H1631/G1631</f>
        <v>0.6</v>
      </c>
      <c r="J1631" s="53" t="n"/>
      <c r="K1631" s="54" t="n"/>
    </row>
    <row r="1632">
      <c r="A1632" s="39" t="inlineStr">
        <is>
          <t>Rasasi</t>
        </is>
      </c>
      <c r="B1632" s="47" t="inlineStr">
        <is>
          <t>RASASI ALIZA OUD AL ABRAJ EDP 100ML</t>
        </is>
      </c>
      <c r="C1632" s="48" t="n">
        <v>100</v>
      </c>
      <c r="D1632" s="49" t="inlineStr">
        <is>
          <t>Árabe</t>
        </is>
      </c>
      <c r="E1632" s="50" t="n">
        <v>18.5</v>
      </c>
      <c r="F1632" s="51">
        <f>E1632*$B$5*(1+$B$6)</f>
        <v>24050</v>
      </c>
      <c r="G1632" s="51">
        <f>F1632*$B$7</f>
        <v>60125</v>
      </c>
      <c r="H1632" s="51">
        <f>G1632-F1632</f>
        <v>36075</v>
      </c>
      <c r="I1632" s="52">
        <f>H1632/G1632</f>
        <v>0.6</v>
      </c>
      <c r="J1632" s="53" t="n"/>
      <c r="K1632" s="54" t="n"/>
    </row>
    <row r="1633">
      <c r="A1633" s="39" t="inlineStr">
        <is>
          <t>Rasasi</t>
        </is>
      </c>
      <c r="B1633" s="47" t="inlineStr">
        <is>
          <t>RASASI ALIZA OUD AL AMBER EDP 100ML</t>
        </is>
      </c>
      <c r="C1633" s="48" t="n">
        <v>100</v>
      </c>
      <c r="D1633" s="49" t="inlineStr">
        <is>
          <t>Árabe</t>
        </is>
      </c>
      <c r="E1633" s="50" t="n">
        <v>18.5</v>
      </c>
      <c r="F1633" s="51">
        <f>E1633*$B$5*(1+$B$6)</f>
        <v>24050</v>
      </c>
      <c r="G1633" s="51">
        <f>F1633*$B$7</f>
        <v>60125</v>
      </c>
      <c r="H1633" s="51">
        <f>G1633-F1633</f>
        <v>36075</v>
      </c>
      <c r="I1633" s="52">
        <f>H1633/G1633</f>
        <v>0.6</v>
      </c>
      <c r="J1633" s="53" t="n"/>
      <c r="K1633" s="54" t="n"/>
    </row>
    <row r="1634">
      <c r="A1634" s="39" t="inlineStr">
        <is>
          <t>Rasasi</t>
        </is>
      </c>
      <c r="B1634" s="47" t="inlineStr">
        <is>
          <t>RASASI ALIZA OUD AL FAKHAR EDP 100ML</t>
        </is>
      </c>
      <c r="C1634" s="48" t="n">
        <v>100</v>
      </c>
      <c r="D1634" s="49" t="inlineStr">
        <is>
          <t>Árabe</t>
        </is>
      </c>
      <c r="E1634" s="50" t="n">
        <v>18.5</v>
      </c>
      <c r="F1634" s="51">
        <f>E1634*$B$5*(1+$B$6)</f>
        <v>24050</v>
      </c>
      <c r="G1634" s="51">
        <f>F1634*$B$7</f>
        <v>60125</v>
      </c>
      <c r="H1634" s="51">
        <f>G1634-F1634</f>
        <v>36075</v>
      </c>
      <c r="I1634" s="52">
        <f>H1634/G1634</f>
        <v>0.6</v>
      </c>
      <c r="J1634" s="53" t="n"/>
      <c r="K1634" s="54" t="n"/>
    </row>
    <row r="1635">
      <c r="A1635" s="39" t="inlineStr">
        <is>
          <t>Rasasi</t>
        </is>
      </c>
      <c r="B1635" s="47" t="inlineStr">
        <is>
          <t>RASASI ALIZA OUD AL RAGHBA EDP 100ML</t>
        </is>
      </c>
      <c r="C1635" s="48" t="n">
        <v>100</v>
      </c>
      <c r="D1635" s="49" t="inlineStr">
        <is>
          <t>Árabe</t>
        </is>
      </c>
      <c r="E1635" s="50" t="n">
        <v>18.5</v>
      </c>
      <c r="F1635" s="51">
        <f>E1635*$B$5*(1+$B$6)</f>
        <v>24050</v>
      </c>
      <c r="G1635" s="51">
        <f>F1635*$B$7</f>
        <v>60125</v>
      </c>
      <c r="H1635" s="51">
        <f>G1635-F1635</f>
        <v>36075</v>
      </c>
      <c r="I1635" s="52">
        <f>H1635/G1635</f>
        <v>0.6</v>
      </c>
      <c r="J1635" s="53" t="n"/>
      <c r="K1635" s="54" t="n"/>
    </row>
    <row r="1636">
      <c r="A1636" s="39" t="inlineStr">
        <is>
          <t>Rasasi</t>
        </is>
      </c>
      <c r="B1636" s="47" t="inlineStr">
        <is>
          <t>RASASI ALIZA OUD AL SHAMS EDP 80ML</t>
        </is>
      </c>
      <c r="C1636" s="48" t="n">
        <v>80</v>
      </c>
      <c r="D1636" s="49" t="inlineStr">
        <is>
          <t>Árabe</t>
        </is>
      </c>
      <c r="E1636" s="50" t="n">
        <v>18.5</v>
      </c>
      <c r="F1636" s="51">
        <f>E1636*$B$5*(1+$B$6)</f>
        <v>24050</v>
      </c>
      <c r="G1636" s="51">
        <f>F1636*$B$7</f>
        <v>60125</v>
      </c>
      <c r="H1636" s="51">
        <f>G1636-F1636</f>
        <v>36075</v>
      </c>
      <c r="I1636" s="52">
        <f>H1636/G1636</f>
        <v>0.6</v>
      </c>
      <c r="J1636" s="53" t="n"/>
      <c r="K1636" s="54" t="n"/>
    </row>
    <row r="1637">
      <c r="A1637" s="39" t="inlineStr">
        <is>
          <t>Rasasi</t>
        </is>
      </c>
      <c r="B1637" s="47" t="inlineStr">
        <is>
          <t>RASASI ALIZA RAEES EDP 100ML</t>
        </is>
      </c>
      <c r="C1637" s="48" t="n">
        <v>100</v>
      </c>
      <c r="D1637" s="49" t="inlineStr">
        <is>
          <t>Árabe</t>
        </is>
      </c>
      <c r="E1637" s="50" t="n">
        <v>18.5</v>
      </c>
      <c r="F1637" s="51">
        <f>E1637*$B$5*(1+$B$6)</f>
        <v>24050</v>
      </c>
      <c r="G1637" s="51">
        <f>F1637*$B$7</f>
        <v>60125</v>
      </c>
      <c r="H1637" s="51">
        <f>G1637-F1637</f>
        <v>36075</v>
      </c>
      <c r="I1637" s="52">
        <f>H1637/G1637</f>
        <v>0.6</v>
      </c>
      <c r="J1637" s="53" t="n"/>
      <c r="K1637" s="54" t="n"/>
    </row>
    <row r="1638">
      <c r="A1638" s="39" t="inlineStr">
        <is>
          <t>Rasasi</t>
        </is>
      </c>
      <c r="B1638" s="47" t="inlineStr">
        <is>
          <t>RASASI ALIZA SAFEER EDP 100ML</t>
        </is>
      </c>
      <c r="C1638" s="48" t="n">
        <v>100</v>
      </c>
      <c r="D1638" s="49" t="inlineStr">
        <is>
          <t>Árabe</t>
        </is>
      </c>
      <c r="E1638" s="50" t="n">
        <v>18.5</v>
      </c>
      <c r="F1638" s="51">
        <f>E1638*$B$5*(1+$B$6)</f>
        <v>24050</v>
      </c>
      <c r="G1638" s="51">
        <f>F1638*$B$7</f>
        <v>60125</v>
      </c>
      <c r="H1638" s="51">
        <f>G1638-F1638</f>
        <v>36075</v>
      </c>
      <c r="I1638" s="52">
        <f>H1638/G1638</f>
        <v>0.6</v>
      </c>
      <c r="J1638" s="53" t="n"/>
      <c r="K1638" s="54" t="n"/>
    </row>
    <row r="1639">
      <c r="A1639" s="39" t="inlineStr">
        <is>
          <t>Rasasi</t>
        </is>
      </c>
      <c r="B1639" s="47" t="inlineStr">
        <is>
          <t>RASASI ALIZA SHAHZAD EDP 100ML</t>
        </is>
      </c>
      <c r="C1639" s="48" t="n">
        <v>100</v>
      </c>
      <c r="D1639" s="49" t="inlineStr">
        <is>
          <t>Árabe</t>
        </is>
      </c>
      <c r="E1639" s="50" t="n">
        <v>18.5</v>
      </c>
      <c r="F1639" s="51">
        <f>E1639*$B$5*(1+$B$6)</f>
        <v>24050</v>
      </c>
      <c r="G1639" s="51">
        <f>F1639*$B$7</f>
        <v>60125</v>
      </c>
      <c r="H1639" s="51">
        <f>G1639-F1639</f>
        <v>36075</v>
      </c>
      <c r="I1639" s="52">
        <f>H1639/G1639</f>
        <v>0.6</v>
      </c>
      <c r="J1639" s="53" t="n"/>
      <c r="K1639" s="54" t="n"/>
    </row>
    <row r="1640">
      <c r="A1640" s="39" t="inlineStr">
        <is>
          <t>Rasasi</t>
        </is>
      </c>
      <c r="B1640" s="47" t="inlineStr">
        <is>
          <t>RASASI ALIZA SULTAN EDP 100ML</t>
        </is>
      </c>
      <c r="C1640" s="48" t="n">
        <v>100</v>
      </c>
      <c r="D1640" s="49" t="inlineStr">
        <is>
          <t>Árabe</t>
        </is>
      </c>
      <c r="E1640" s="50" t="n">
        <v>18.5</v>
      </c>
      <c r="F1640" s="51">
        <f>E1640*$B$5*(1+$B$6)</f>
        <v>24050</v>
      </c>
      <c r="G1640" s="51">
        <f>F1640*$B$7</f>
        <v>60125</v>
      </c>
      <c r="H1640" s="51">
        <f>G1640-F1640</f>
        <v>36075</v>
      </c>
      <c r="I1640" s="52">
        <f>H1640/G1640</f>
        <v>0.6</v>
      </c>
      <c r="J1640" s="53" t="n"/>
      <c r="K1640" s="54" t="n"/>
    </row>
    <row r="1641">
      <c r="A1641" s="39" t="inlineStr">
        <is>
          <t>Rasasi</t>
        </is>
      </c>
      <c r="B1641" s="47" t="inlineStr">
        <is>
          <t>RASASI ALIZA TAAJ AL OUD EDP 75ML</t>
        </is>
      </c>
      <c r="C1641" s="48" t="n">
        <v>75</v>
      </c>
      <c r="D1641" s="49" t="inlineStr">
        <is>
          <t>Árabe</t>
        </is>
      </c>
      <c r="E1641" s="50" t="n">
        <v>18.5</v>
      </c>
      <c r="F1641" s="51">
        <f>E1641*$B$5*(1+$B$6)</f>
        <v>24050</v>
      </c>
      <c r="G1641" s="51">
        <f>F1641*$B$7</f>
        <v>60125</v>
      </c>
      <c r="H1641" s="51">
        <f>G1641-F1641</f>
        <v>36075</v>
      </c>
      <c r="I1641" s="52">
        <f>H1641/G1641</f>
        <v>0.6</v>
      </c>
      <c r="J1641" s="53" t="n"/>
      <c r="K1641" s="54" t="n"/>
    </row>
    <row r="1642">
      <c r="A1642" s="39" t="inlineStr">
        <is>
          <t>Rasasi</t>
        </is>
      </c>
      <c r="B1642" s="47" t="inlineStr">
        <is>
          <t>RASASI ALIZA ZIRWA EDP 100ML</t>
        </is>
      </c>
      <c r="C1642" s="48" t="n">
        <v>100</v>
      </c>
      <c r="D1642" s="49" t="inlineStr">
        <is>
          <t>Árabe</t>
        </is>
      </c>
      <c r="E1642" s="50" t="n">
        <v>18.5</v>
      </c>
      <c r="F1642" s="51">
        <f>E1642*$B$5*(1+$B$6)</f>
        <v>24050</v>
      </c>
      <c r="G1642" s="51">
        <f>F1642*$B$7</f>
        <v>60125</v>
      </c>
      <c r="H1642" s="51">
        <f>G1642-F1642</f>
        <v>36075</v>
      </c>
      <c r="I1642" s="52">
        <f>H1642/G1642</f>
        <v>0.6</v>
      </c>
      <c r="J1642" s="53" t="n"/>
      <c r="K1642" s="54" t="n"/>
    </row>
    <row r="1643">
      <c r="A1643" s="39" t="inlineStr">
        <is>
          <t>Rasasi</t>
        </is>
      </c>
      <c r="B1643" s="47" t="inlineStr">
        <is>
          <t>RASASI ALIZA ZOYA EDP 100ML</t>
        </is>
      </c>
      <c r="C1643" s="48" t="n">
        <v>100</v>
      </c>
      <c r="D1643" s="49" t="inlineStr">
        <is>
          <t>Árabe</t>
        </is>
      </c>
      <c r="E1643" s="50" t="n">
        <v>18.5</v>
      </c>
      <c r="F1643" s="51">
        <f>E1643*$B$5*(1+$B$6)</f>
        <v>24050</v>
      </c>
      <c r="G1643" s="51">
        <f>F1643*$B$7</f>
        <v>60125</v>
      </c>
      <c r="H1643" s="51">
        <f>G1643-F1643</f>
        <v>36075</v>
      </c>
      <c r="I1643" s="52">
        <f>H1643/G1643</f>
        <v>0.6</v>
      </c>
      <c r="J1643" s="53" t="n"/>
      <c r="K1643" s="54" t="n"/>
    </row>
    <row r="1644">
      <c r="A1644" s="39" t="inlineStr">
        <is>
          <t>Rasasi</t>
        </is>
      </c>
      <c r="B1644" s="47" t="inlineStr">
        <is>
          <t>RASASI ALIZA ZUMURROD EDP 75ML</t>
        </is>
      </c>
      <c r="C1644" s="48" t="n">
        <v>75</v>
      </c>
      <c r="D1644" s="49" t="inlineStr">
        <is>
          <t>Árabe</t>
        </is>
      </c>
      <c r="E1644" s="50" t="n">
        <v>18.5</v>
      </c>
      <c r="F1644" s="51">
        <f>E1644*$B$5*(1+$B$6)</f>
        <v>24050</v>
      </c>
      <c r="G1644" s="51">
        <f>F1644*$B$7</f>
        <v>60125</v>
      </c>
      <c r="H1644" s="51">
        <f>G1644-F1644</f>
        <v>36075</v>
      </c>
      <c r="I1644" s="52">
        <f>H1644/G1644</f>
        <v>0.6</v>
      </c>
      <c r="J1644" s="53" t="n"/>
      <c r="K1644" s="54" t="n"/>
    </row>
    <row r="1645">
      <c r="A1645" s="39" t="inlineStr">
        <is>
          <t>Rasasi</t>
        </is>
      </c>
      <c r="B1645" s="47" t="inlineStr">
        <is>
          <t>RASASI HAWAS BLACK EDP 100ML MASCULINO</t>
        </is>
      </c>
      <c r="C1645" s="48" t="n">
        <v>100</v>
      </c>
      <c r="D1645" s="49" t="inlineStr">
        <is>
          <t>Árabe</t>
        </is>
      </c>
      <c r="E1645" s="50" t="n">
        <v>24</v>
      </c>
      <c r="F1645" s="51">
        <f>E1645*$B$5*(1+$B$6)</f>
        <v>31200</v>
      </c>
      <c r="G1645" s="51">
        <f>F1645*$B$7</f>
        <v>78000</v>
      </c>
      <c r="H1645" s="51">
        <f>G1645-F1645</f>
        <v>46800</v>
      </c>
      <c r="I1645" s="52">
        <f>H1645/G1645</f>
        <v>0.6</v>
      </c>
      <c r="J1645" s="53" t="n"/>
      <c r="K1645" s="54" t="n"/>
    </row>
    <row r="1646">
      <c r="A1646" s="39" t="inlineStr">
        <is>
          <t>Rasasi</t>
        </is>
      </c>
      <c r="B1646" s="47" t="inlineStr">
        <is>
          <t>RASASI HAWAS ELIXIR 100ML</t>
        </is>
      </c>
      <c r="C1646" s="48" t="n">
        <v>100</v>
      </c>
      <c r="D1646" s="49" t="inlineStr">
        <is>
          <t>Árabe</t>
        </is>
      </c>
      <c r="E1646" s="50" t="n">
        <v>23</v>
      </c>
      <c r="F1646" s="51">
        <f>E1646*$B$5*(1+$B$6)</f>
        <v>29900</v>
      </c>
      <c r="G1646" s="51">
        <f>F1646*$B$7</f>
        <v>74750</v>
      </c>
      <c r="H1646" s="51">
        <f>G1646-F1646</f>
        <v>44850</v>
      </c>
      <c r="I1646" s="52">
        <f>H1646/G1646</f>
        <v>0.6</v>
      </c>
      <c r="J1646" s="53" t="n"/>
      <c r="K1646" s="54" t="n"/>
    </row>
    <row r="1647">
      <c r="A1647" s="39" t="inlineStr">
        <is>
          <t>Rasasi</t>
        </is>
      </c>
      <c r="B1647" s="47" t="inlineStr">
        <is>
          <t>RASASI HAWAS FIRE EDP 100ML</t>
        </is>
      </c>
      <c r="C1647" s="48" t="n">
        <v>100</v>
      </c>
      <c r="D1647" s="49" t="inlineStr">
        <is>
          <t>Árabe</t>
        </is>
      </c>
      <c r="E1647" s="50" t="n">
        <v>27.5</v>
      </c>
      <c r="F1647" s="51">
        <f>E1647*$B$5*(1+$B$6)</f>
        <v>35750</v>
      </c>
      <c r="G1647" s="51">
        <f>F1647*$B$7</f>
        <v>89375</v>
      </c>
      <c r="H1647" s="51">
        <f>G1647-F1647</f>
        <v>53625</v>
      </c>
      <c r="I1647" s="52">
        <f>H1647/G1647</f>
        <v>0.6</v>
      </c>
      <c r="J1647" s="53" t="n"/>
      <c r="K1647" s="54" t="n"/>
    </row>
    <row r="1648">
      <c r="A1648" s="39" t="inlineStr">
        <is>
          <t>Rasasi</t>
        </is>
      </c>
      <c r="B1648" s="47" t="inlineStr">
        <is>
          <t>RASASI HAWAS FOR HER (GOLD) EDP 100ML FEM</t>
        </is>
      </c>
      <c r="C1648" s="48" t="n">
        <v>100</v>
      </c>
      <c r="D1648" s="49" t="inlineStr">
        <is>
          <t>Árabe</t>
        </is>
      </c>
      <c r="E1648" s="50" t="n">
        <v>16</v>
      </c>
      <c r="F1648" s="51">
        <f>E1648*$B$5*(1+$B$6)</f>
        <v>20800</v>
      </c>
      <c r="G1648" s="51">
        <f>F1648*$B$7</f>
        <v>52000</v>
      </c>
      <c r="H1648" s="51">
        <f>G1648-F1648</f>
        <v>31200</v>
      </c>
      <c r="I1648" s="52">
        <f>H1648/G1648</f>
        <v>0.6</v>
      </c>
      <c r="J1648" s="53" t="n"/>
      <c r="K1648" s="54" t="n"/>
    </row>
    <row r="1649">
      <c r="A1649" s="39" t="inlineStr">
        <is>
          <t>Rasasi</t>
        </is>
      </c>
      <c r="B1649" s="47" t="inlineStr">
        <is>
          <t>RASASI HAWAS FOR HIM EDP 100ML MASC</t>
        </is>
      </c>
      <c r="C1649" s="48" t="n">
        <v>100</v>
      </c>
      <c r="D1649" s="49" t="inlineStr">
        <is>
          <t>Árabe</t>
        </is>
      </c>
      <c r="E1649" s="50" t="n">
        <v>18.5</v>
      </c>
      <c r="F1649" s="51">
        <f>E1649*$B$5*(1+$B$6)</f>
        <v>24050</v>
      </c>
      <c r="G1649" s="51">
        <f>F1649*$B$7</f>
        <v>60125</v>
      </c>
      <c r="H1649" s="51">
        <f>G1649-F1649</f>
        <v>36075</v>
      </c>
      <c r="I1649" s="52">
        <f>H1649/G1649</f>
        <v>0.6</v>
      </c>
      <c r="J1649" s="53" t="n"/>
      <c r="K1649" s="54" t="n"/>
    </row>
    <row r="1650">
      <c r="A1650" s="39" t="inlineStr">
        <is>
          <t>Rasasi</t>
        </is>
      </c>
      <c r="B1650" s="47" t="inlineStr">
        <is>
          <t>RASASI HAWAS ICE EDP 100ML</t>
        </is>
      </c>
      <c r="C1650" s="48" t="n">
        <v>100</v>
      </c>
      <c r="D1650" s="49" t="inlineStr">
        <is>
          <t>Árabe</t>
        </is>
      </c>
      <c r="E1650" s="50" t="n">
        <v>35</v>
      </c>
      <c r="F1650" s="51">
        <f>E1650*$B$5*(1+$B$6)</f>
        <v>45500</v>
      </c>
      <c r="G1650" s="51">
        <f>F1650*$B$7</f>
        <v>113750</v>
      </c>
      <c r="H1650" s="51">
        <f>G1650-F1650</f>
        <v>68250</v>
      </c>
      <c r="I1650" s="52">
        <f>H1650/G1650</f>
        <v>0.6</v>
      </c>
      <c r="J1650" s="53" t="n"/>
      <c r="K1650" s="54" t="n"/>
    </row>
    <row r="1651">
      <c r="A1651" s="39" t="inlineStr">
        <is>
          <t>Rasasi</t>
        </is>
      </c>
      <c r="B1651" s="47" t="inlineStr">
        <is>
          <t>RASASI HAWAS KOBRA EDP 100ML MASC</t>
        </is>
      </c>
      <c r="C1651" s="48" t="n">
        <v>100</v>
      </c>
      <c r="D1651" s="49" t="inlineStr">
        <is>
          <t>Árabe</t>
        </is>
      </c>
      <c r="E1651" s="50" t="n">
        <v>33</v>
      </c>
      <c r="F1651" s="51">
        <f>E1651*$B$5*(1+$B$6)</f>
        <v>42900</v>
      </c>
      <c r="G1651" s="51">
        <f>F1651*$B$7</f>
        <v>107250</v>
      </c>
      <c r="H1651" s="51">
        <f>G1651-F1651</f>
        <v>64350</v>
      </c>
      <c r="I1651" s="52">
        <f>H1651/G1651</f>
        <v>0.6</v>
      </c>
      <c r="J1651" s="53" t="n"/>
      <c r="K1651" s="54" t="n"/>
    </row>
    <row r="1652">
      <c r="A1652" s="39" t="inlineStr">
        <is>
          <t>Rasasi</t>
        </is>
      </c>
      <c r="B1652" s="47" t="inlineStr">
        <is>
          <t>RASASI HAWAS MALIBU EDP 100ML</t>
        </is>
      </c>
      <c r="C1652" s="48" t="n">
        <v>100</v>
      </c>
      <c r="D1652" s="49" t="inlineStr">
        <is>
          <t>Árabe</t>
        </is>
      </c>
      <c r="E1652" s="50" t="n">
        <v>30.25</v>
      </c>
      <c r="F1652" s="51">
        <f>E1652*$B$5*(1+$B$6)</f>
        <v>39325</v>
      </c>
      <c r="G1652" s="51">
        <f>F1652*$B$7</f>
        <v>98312.5</v>
      </c>
      <c r="H1652" s="51">
        <f>G1652-F1652</f>
        <v>58987.5</v>
      </c>
      <c r="I1652" s="52">
        <f>H1652/G1652</f>
        <v>0.6</v>
      </c>
      <c r="J1652" s="53" t="n"/>
      <c r="K1652" s="54" t="n"/>
    </row>
    <row r="1653">
      <c r="A1653" s="39" t="inlineStr">
        <is>
          <t>Rasasi</t>
        </is>
      </c>
      <c r="B1653" s="47" t="inlineStr">
        <is>
          <t>RASASI HAWAS PINK EDP 100ML FEM</t>
        </is>
      </c>
      <c r="C1653" s="48" t="n">
        <v>100</v>
      </c>
      <c r="D1653" s="49" t="inlineStr">
        <is>
          <t>Árabe</t>
        </is>
      </c>
      <c r="E1653" s="50" t="n">
        <v>31.5</v>
      </c>
      <c r="F1653" s="51">
        <f>E1653*$B$5*(1+$B$6)</f>
        <v>40950</v>
      </c>
      <c r="G1653" s="51">
        <f>F1653*$B$7</f>
        <v>102375</v>
      </c>
      <c r="H1653" s="51">
        <f>G1653-F1653</f>
        <v>61425</v>
      </c>
      <c r="I1653" s="52">
        <f>H1653/G1653</f>
        <v>0.6</v>
      </c>
      <c r="J1653" s="53" t="n"/>
      <c r="K1653" s="54" t="n"/>
    </row>
    <row r="1654">
      <c r="A1654" s="39" t="inlineStr">
        <is>
          <t>Rayhaan</t>
        </is>
      </c>
      <c r="B1654" s="47" t="inlineStr">
        <is>
          <t>RAYHAAN AYKA EDP 100ML</t>
        </is>
      </c>
      <c r="C1654" s="48" t="n">
        <v>100</v>
      </c>
      <c r="D1654" s="49" t="inlineStr">
        <is>
          <t>Árabe</t>
        </is>
      </c>
      <c r="E1654" s="50" t="n">
        <v>22</v>
      </c>
      <c r="F1654" s="51">
        <f>E1654*$B$5*(1+$B$6)</f>
        <v>28600</v>
      </c>
      <c r="G1654" s="51">
        <f>F1654*$B$7</f>
        <v>71500</v>
      </c>
      <c r="H1654" s="51">
        <f>G1654-F1654</f>
        <v>42900</v>
      </c>
      <c r="I1654" s="52">
        <f>H1654/G1654</f>
        <v>0.6</v>
      </c>
      <c r="J1654" s="53" t="n"/>
      <c r="K1654" s="54" t="n"/>
    </row>
    <row r="1655">
      <c r="A1655" s="39" t="inlineStr">
        <is>
          <t>Rayhaan</t>
        </is>
      </c>
      <c r="B1655" s="47" t="inlineStr">
        <is>
          <t>RAYHAAN ELIXIR EDP 100ML</t>
        </is>
      </c>
      <c r="C1655" s="48" t="n">
        <v>100</v>
      </c>
      <c r="D1655" s="49" t="inlineStr">
        <is>
          <t>Árabe</t>
        </is>
      </c>
      <c r="E1655" s="50" t="n">
        <v>27</v>
      </c>
      <c r="F1655" s="51">
        <f>E1655*$B$5*(1+$B$6)</f>
        <v>35100</v>
      </c>
      <c r="G1655" s="51">
        <f>F1655*$B$7</f>
        <v>87750</v>
      </c>
      <c r="H1655" s="51">
        <f>G1655-F1655</f>
        <v>52650</v>
      </c>
      <c r="I1655" s="52">
        <f>H1655/G1655</f>
        <v>0.6</v>
      </c>
      <c r="J1655" s="53" t="n"/>
      <c r="K1655" s="54" t="n"/>
    </row>
    <row r="1656">
      <c r="A1656" s="39" t="inlineStr">
        <is>
          <t>Rayhaan</t>
        </is>
      </c>
      <c r="B1656" s="47" t="inlineStr">
        <is>
          <t>RAYHAAN IMPERIA EDP 100ML</t>
        </is>
      </c>
      <c r="C1656" s="48" t="n">
        <v>100</v>
      </c>
      <c r="D1656" s="49" t="inlineStr">
        <is>
          <t>Árabe</t>
        </is>
      </c>
      <c r="E1656" s="50" t="n">
        <v>20.5</v>
      </c>
      <c r="F1656" s="51">
        <f>E1656*$B$5*(1+$B$6)</f>
        <v>26650</v>
      </c>
      <c r="G1656" s="51">
        <f>F1656*$B$7</f>
        <v>66625</v>
      </c>
      <c r="H1656" s="51">
        <f>G1656-F1656</f>
        <v>39975</v>
      </c>
      <c r="I1656" s="52">
        <f>H1656/G1656</f>
        <v>0.6</v>
      </c>
      <c r="J1656" s="53" t="n"/>
      <c r="K1656" s="54" t="n"/>
    </row>
    <row r="1657">
      <c r="A1657" s="39" t="inlineStr">
        <is>
          <t>Rayhaan</t>
        </is>
      </c>
      <c r="B1657" s="47" t="inlineStr">
        <is>
          <t>RAYHAAN KISS EDP 100ML FEM</t>
        </is>
      </c>
      <c r="C1657" s="48" t="n">
        <v>100</v>
      </c>
      <c r="D1657" s="49" t="inlineStr">
        <is>
          <t>Árabe</t>
        </is>
      </c>
      <c r="E1657" s="50" t="n">
        <v>32</v>
      </c>
      <c r="F1657" s="51">
        <f>E1657*$B$5*(1+$B$6)</f>
        <v>41600</v>
      </c>
      <c r="G1657" s="51">
        <f>F1657*$B$7</f>
        <v>104000</v>
      </c>
      <c r="H1657" s="51">
        <f>G1657-F1657</f>
        <v>62400</v>
      </c>
      <c r="I1657" s="52">
        <f>H1657/G1657</f>
        <v>0.6</v>
      </c>
      <c r="J1657" s="53" t="n"/>
      <c r="K1657" s="54" t="n"/>
    </row>
    <row r="1658">
      <c r="A1658" s="39" t="inlineStr">
        <is>
          <t>Rayhaan</t>
        </is>
      </c>
      <c r="B1658" s="47" t="inlineStr">
        <is>
          <t>RAYHAAN LION EDP 100ML</t>
        </is>
      </c>
      <c r="C1658" s="48" t="n">
        <v>100</v>
      </c>
      <c r="D1658" s="49" t="inlineStr">
        <is>
          <t>Árabe</t>
        </is>
      </c>
      <c r="E1658" s="50" t="n">
        <v>22</v>
      </c>
      <c r="F1658" s="51">
        <f>E1658*$B$5*(1+$B$6)</f>
        <v>28600</v>
      </c>
      <c r="G1658" s="51">
        <f>F1658*$B$7</f>
        <v>71500</v>
      </c>
      <c r="H1658" s="51">
        <f>G1658-F1658</f>
        <v>42900</v>
      </c>
      <c r="I1658" s="52">
        <f>H1658/G1658</f>
        <v>0.6</v>
      </c>
      <c r="J1658" s="53" t="n"/>
      <c r="K1658" s="54" t="n"/>
    </row>
    <row r="1659">
      <c r="A1659" s="39" t="inlineStr">
        <is>
          <t>Rayhaan</t>
        </is>
      </c>
      <c r="B1659" s="47" t="inlineStr">
        <is>
          <t>RAYHAAN NOCTURNO EDP 100ML</t>
        </is>
      </c>
      <c r="C1659" s="48" t="n">
        <v>100</v>
      </c>
      <c r="D1659" s="49" t="inlineStr">
        <is>
          <t>Árabe</t>
        </is>
      </c>
      <c r="E1659" s="50" t="n">
        <v>27</v>
      </c>
      <c r="F1659" s="51">
        <f>E1659*$B$5*(1+$B$6)</f>
        <v>35100</v>
      </c>
      <c r="G1659" s="51">
        <f>F1659*$B$7</f>
        <v>87750</v>
      </c>
      <c r="H1659" s="51">
        <f>G1659-F1659</f>
        <v>52650</v>
      </c>
      <c r="I1659" s="52">
        <f>H1659/G1659</f>
        <v>0.6</v>
      </c>
      <c r="J1659" s="53" t="n"/>
      <c r="K1659" s="54" t="n"/>
    </row>
    <row r="1660">
      <c r="A1660" s="39" t="inlineStr">
        <is>
          <t>Rayhaan</t>
        </is>
      </c>
      <c r="B1660" s="47" t="inlineStr">
        <is>
          <t>RAYHAAN TONQUIN GIZA EDP 100ML</t>
        </is>
      </c>
      <c r="C1660" s="48" t="n">
        <v>100</v>
      </c>
      <c r="D1660" s="49" t="inlineStr">
        <is>
          <t>Árabe</t>
        </is>
      </c>
      <c r="E1660" s="50" t="n">
        <v>36</v>
      </c>
      <c r="F1660" s="51">
        <f>E1660*$B$5*(1+$B$6)</f>
        <v>46800</v>
      </c>
      <c r="G1660" s="51">
        <f>F1660*$B$7</f>
        <v>117000</v>
      </c>
      <c r="H1660" s="51">
        <f>G1660-F1660</f>
        <v>70200</v>
      </c>
      <c r="I1660" s="52">
        <f>H1660/G1660</f>
        <v>0.6</v>
      </c>
      <c r="J1660" s="53" t="n"/>
      <c r="K1660" s="54" t="n"/>
    </row>
    <row r="1661">
      <c r="A1661" s="39" t="inlineStr">
        <is>
          <t>Rayhaan</t>
        </is>
      </c>
      <c r="B1661" s="47" t="inlineStr">
        <is>
          <t>RAYHAAN TROPICAL VIBE 100ML</t>
        </is>
      </c>
      <c r="C1661" s="48" t="n">
        <v>100</v>
      </c>
      <c r="D1661" s="49" t="inlineStr">
        <is>
          <t>Árabe</t>
        </is>
      </c>
      <c r="E1661" s="50" t="n">
        <v>40</v>
      </c>
      <c r="F1661" s="51">
        <f>E1661*$B$5*(1+$B$6)</f>
        <v>52000</v>
      </c>
      <c r="G1661" s="51">
        <f>F1661*$B$7</f>
        <v>130000</v>
      </c>
      <c r="H1661" s="51">
        <f>G1661-F1661</f>
        <v>78000</v>
      </c>
      <c r="I1661" s="52">
        <f>H1661/G1661</f>
        <v>0.6</v>
      </c>
      <c r="J1661" s="53" t="n"/>
      <c r="K1661" s="54" t="n"/>
    </row>
    <row r="1662">
      <c r="A1662" s="39" t="inlineStr">
        <is>
          <t>Rayhaan</t>
        </is>
      </c>
      <c r="B1662" s="47" t="inlineStr">
        <is>
          <t>RAYHAAN WOLF EDP 100ML MASC</t>
        </is>
      </c>
      <c r="C1662" s="48" t="n">
        <v>100</v>
      </c>
      <c r="D1662" s="49" t="inlineStr">
        <is>
          <t>Árabe</t>
        </is>
      </c>
      <c r="E1662" s="50" t="n">
        <v>36</v>
      </c>
      <c r="F1662" s="51">
        <f>E1662*$B$5*(1+$B$6)</f>
        <v>46800</v>
      </c>
      <c r="G1662" s="51">
        <f>F1662*$B$7</f>
        <v>117000</v>
      </c>
      <c r="H1662" s="51">
        <f>G1662-F1662</f>
        <v>70200</v>
      </c>
      <c r="I1662" s="52">
        <f>H1662/G1662</f>
        <v>0.6</v>
      </c>
      <c r="J1662" s="53" t="n"/>
      <c r="K1662" s="54" t="n"/>
    </row>
    <row r="1663">
      <c r="A1663" s="39" t="inlineStr">
        <is>
          <t>Rue Broca</t>
        </is>
      </c>
      <c r="B1663" s="47" t="inlineStr">
        <is>
          <t>RUE BROCA KIT PRIDE POUR FEMME EDP 100ML + S/G 100ML + B/L 100ML</t>
        </is>
      </c>
      <c r="C1663" s="48" t="n">
        <v>100</v>
      </c>
      <c r="D1663" s="49" t="inlineStr">
        <is>
          <t>Árabe</t>
        </is>
      </c>
      <c r="E1663" s="50" t="n">
        <v>19.5</v>
      </c>
      <c r="F1663" s="51">
        <f>E1663*$B$5*(1+$B$6)</f>
        <v>25350</v>
      </c>
      <c r="G1663" s="51">
        <f>F1663*$B$7</f>
        <v>63375</v>
      </c>
      <c r="H1663" s="51">
        <f>G1663-F1663</f>
        <v>38025</v>
      </c>
      <c r="I1663" s="52">
        <f>H1663/G1663</f>
        <v>0.6</v>
      </c>
      <c r="J1663" s="53" t="n"/>
      <c r="K1663" s="54" t="inlineStr">
        <is>
          <t>clon/genérico</t>
        </is>
      </c>
    </row>
    <row r="1664">
      <c r="A1664" s="39" t="inlineStr">
        <is>
          <t>Rue Broca</t>
        </is>
      </c>
      <c r="B1664" s="47" t="inlineStr">
        <is>
          <t>RUE BROCA KIT PRIDE POUR HOMME EDP 100ML + S/G 100ML + A/S 100ML</t>
        </is>
      </c>
      <c r="C1664" s="48" t="n">
        <v>100</v>
      </c>
      <c r="D1664" s="49" t="inlineStr">
        <is>
          <t>Árabe</t>
        </is>
      </c>
      <c r="E1664" s="50" t="n">
        <v>19.5</v>
      </c>
      <c r="F1664" s="51">
        <f>E1664*$B$5*(1+$B$6)</f>
        <v>25350</v>
      </c>
      <c r="G1664" s="51">
        <f>F1664*$B$7</f>
        <v>63375</v>
      </c>
      <c r="H1664" s="51">
        <f>G1664-F1664</f>
        <v>38025</v>
      </c>
      <c r="I1664" s="52">
        <f>H1664/G1664</f>
        <v>0.6</v>
      </c>
      <c r="J1664" s="53" t="n"/>
      <c r="K1664" s="54" t="inlineStr">
        <is>
          <t>clon/genérico</t>
        </is>
      </c>
    </row>
    <row r="1665">
      <c r="A1665" s="39" t="inlineStr">
        <is>
          <t>Sabrina Carpenter</t>
        </is>
      </c>
      <c r="B1665" s="47" t="inlineStr">
        <is>
          <t>SABRINA CARPENTER CARAMEL DREAMS EDP 75ML FEM</t>
        </is>
      </c>
      <c r="C1665" s="48" t="n">
        <v>75</v>
      </c>
      <c r="D1665" s="49" t="inlineStr">
        <is>
          <t>Diseñador</t>
        </is>
      </c>
      <c r="E1665" s="50" t="n">
        <v>22.25</v>
      </c>
      <c r="F1665" s="51">
        <f>E1665*$B$5*(1+$B$6)</f>
        <v>28925</v>
      </c>
      <c r="G1665" s="51">
        <f>F1665*$B$7</f>
        <v>72312.5</v>
      </c>
      <c r="H1665" s="51">
        <f>G1665-F1665</f>
        <v>43387.5</v>
      </c>
      <c r="I1665" s="52">
        <f>H1665/G1665</f>
        <v>0.6</v>
      </c>
      <c r="J1665" s="53" t="n"/>
      <c r="K1665" s="54" t="n"/>
    </row>
    <row r="1666">
      <c r="A1666" s="39" t="inlineStr">
        <is>
          <t>Sabrina Carpenter</t>
        </is>
      </c>
      <c r="B1666" s="47" t="inlineStr">
        <is>
          <t>SABRINA CARPENTER ME ESPRESSO EDP 75ML FEM</t>
        </is>
      </c>
      <c r="C1666" s="48" t="n">
        <v>75</v>
      </c>
      <c r="D1666" s="49" t="inlineStr">
        <is>
          <t>Diseñador</t>
        </is>
      </c>
      <c r="E1666" s="50" t="n">
        <v>23</v>
      </c>
      <c r="F1666" s="51">
        <f>E1666*$B$5*(1+$B$6)</f>
        <v>29900</v>
      </c>
      <c r="G1666" s="51">
        <f>F1666*$B$7</f>
        <v>74750</v>
      </c>
      <c r="H1666" s="51">
        <f>G1666-F1666</f>
        <v>44850</v>
      </c>
      <c r="I1666" s="52">
        <f>H1666/G1666</f>
        <v>0.6</v>
      </c>
      <c r="J1666" s="53" t="n"/>
      <c r="K1666" s="54" t="n"/>
    </row>
    <row r="1667">
      <c r="A1667" s="39" t="inlineStr">
        <is>
          <t>Sarah Jessica Parker</t>
        </is>
      </c>
      <c r="B1667" s="47" t="inlineStr">
        <is>
          <t>LOVELY SARAH JESSICA PARKER EDP 200ML</t>
        </is>
      </c>
      <c r="C1667" s="48" t="n">
        <v>200</v>
      </c>
      <c r="D1667" s="49" t="inlineStr">
        <is>
          <t>Diseñador</t>
        </is>
      </c>
      <c r="E1667" s="50" t="n">
        <v>33</v>
      </c>
      <c r="F1667" s="51">
        <f>E1667*$B$5*(1+$B$6)</f>
        <v>42900</v>
      </c>
      <c r="G1667" s="51">
        <f>F1667*$B$7</f>
        <v>107250</v>
      </c>
      <c r="H1667" s="51">
        <f>G1667-F1667</f>
        <v>64350</v>
      </c>
      <c r="I1667" s="52">
        <f>H1667/G1667</f>
        <v>0.6</v>
      </c>
      <c r="J1667" s="53" t="n"/>
      <c r="K1667" s="54" t="n"/>
    </row>
    <row r="1668">
      <c r="A1668" s="39" t="inlineStr">
        <is>
          <t>Scentologia</t>
        </is>
      </c>
      <c r="B1668" s="47" t="inlineStr">
        <is>
          <t>SCENTOLOGIA ABSOLUTE EDP 100ML</t>
        </is>
      </c>
      <c r="C1668" s="48" t="n">
        <v>100</v>
      </c>
      <c r="D1668" s="49" t="inlineStr">
        <is>
          <t>Nicho</t>
        </is>
      </c>
      <c r="E1668" s="50" t="n">
        <v>200</v>
      </c>
      <c r="F1668" s="51">
        <f>E1668*$B$5*(1+$B$6)</f>
        <v>260000</v>
      </c>
      <c r="G1668" s="51">
        <f>F1668*$B$7</f>
        <v>650000</v>
      </c>
      <c r="H1668" s="51">
        <f>G1668-F1668</f>
        <v>390000</v>
      </c>
      <c r="I1668" s="52">
        <f>H1668/G1668</f>
        <v>0.6</v>
      </c>
      <c r="J1668" s="53" t="n"/>
      <c r="K1668" s="54" t="n"/>
    </row>
    <row r="1669">
      <c r="A1669" s="39" t="inlineStr">
        <is>
          <t>Scentologia</t>
        </is>
      </c>
      <c r="B1669" s="47" t="inlineStr">
        <is>
          <t>SCENTOLOGIA DARK OPULENCE EXTDP 100ML</t>
        </is>
      </c>
      <c r="C1669" s="48" t="n">
        <v>100</v>
      </c>
      <c r="D1669" s="49" t="inlineStr">
        <is>
          <t>Nicho</t>
        </is>
      </c>
      <c r="E1669" s="50" t="n">
        <v>200</v>
      </c>
      <c r="F1669" s="51">
        <f>E1669*$B$5*(1+$B$6)</f>
        <v>260000</v>
      </c>
      <c r="G1669" s="51">
        <f>F1669*$B$7</f>
        <v>650000</v>
      </c>
      <c r="H1669" s="51">
        <f>G1669-F1669</f>
        <v>390000</v>
      </c>
      <c r="I1669" s="52">
        <f>H1669/G1669</f>
        <v>0.6</v>
      </c>
      <c r="J1669" s="53" t="n"/>
      <c r="K1669" s="54" t="n"/>
    </row>
    <row r="1670">
      <c r="A1670" s="39" t="inlineStr">
        <is>
          <t>Scentologia</t>
        </is>
      </c>
      <c r="B1670" s="47" t="inlineStr">
        <is>
          <t>SCENTOLOGIA FOREST BLENDS EDP 100ML</t>
        </is>
      </c>
      <c r="C1670" s="48" t="n">
        <v>100</v>
      </c>
      <c r="D1670" s="49" t="inlineStr">
        <is>
          <t>Nicho</t>
        </is>
      </c>
      <c r="E1670" s="50" t="n">
        <v>200</v>
      </c>
      <c r="F1670" s="51">
        <f>E1670*$B$5*(1+$B$6)</f>
        <v>260000</v>
      </c>
      <c r="G1670" s="51">
        <f>F1670*$B$7</f>
        <v>650000</v>
      </c>
      <c r="H1670" s="51">
        <f>G1670-F1670</f>
        <v>390000</v>
      </c>
      <c r="I1670" s="52">
        <f>H1670/G1670</f>
        <v>0.6</v>
      </c>
      <c r="J1670" s="53" t="n"/>
      <c r="K1670" s="54" t="n"/>
    </row>
    <row r="1671">
      <c r="A1671" s="39" t="inlineStr">
        <is>
          <t>Scentologia</t>
        </is>
      </c>
      <c r="B1671" s="47" t="inlineStr">
        <is>
          <t>SCENTOLOGIA IMMORTAL POTION EXTDP 100ML</t>
        </is>
      </c>
      <c r="C1671" s="48" t="n">
        <v>100</v>
      </c>
      <c r="D1671" s="49" t="inlineStr">
        <is>
          <t>Nicho</t>
        </is>
      </c>
      <c r="E1671" s="50" t="n">
        <v>200</v>
      </c>
      <c r="F1671" s="51">
        <f>E1671*$B$5*(1+$B$6)</f>
        <v>260000</v>
      </c>
      <c r="G1671" s="51">
        <f>F1671*$B$7</f>
        <v>650000</v>
      </c>
      <c r="H1671" s="51">
        <f>G1671-F1671</f>
        <v>390000</v>
      </c>
      <c r="I1671" s="52">
        <f>H1671/G1671</f>
        <v>0.6</v>
      </c>
      <c r="J1671" s="53" t="n"/>
      <c r="K1671" s="54" t="n"/>
    </row>
    <row r="1672">
      <c r="A1672" s="39" t="inlineStr">
        <is>
          <t>Scentologia</t>
        </is>
      </c>
      <c r="B1672" s="47" t="inlineStr">
        <is>
          <t>SCENTOLOGIA LACTONIC EDP 100ML</t>
        </is>
      </c>
      <c r="C1672" s="48" t="n">
        <v>100</v>
      </c>
      <c r="D1672" s="49" t="inlineStr">
        <is>
          <t>Nicho</t>
        </is>
      </c>
      <c r="E1672" s="50" t="n">
        <v>200</v>
      </c>
      <c r="F1672" s="51">
        <f>E1672*$B$5*(1+$B$6)</f>
        <v>260000</v>
      </c>
      <c r="G1672" s="51">
        <f>F1672*$B$7</f>
        <v>650000</v>
      </c>
      <c r="H1672" s="51">
        <f>G1672-F1672</f>
        <v>390000</v>
      </c>
      <c r="I1672" s="52">
        <f>H1672/G1672</f>
        <v>0.6</v>
      </c>
      <c r="J1672" s="53" t="n"/>
      <c r="K1672" s="54" t="n"/>
    </row>
    <row r="1673">
      <c r="A1673" s="39" t="inlineStr">
        <is>
          <t>Scentologia</t>
        </is>
      </c>
      <c r="B1673" s="47" t="inlineStr">
        <is>
          <t>SCENTOLOGIA OBSIDIAN EXTDP 100ML</t>
        </is>
      </c>
      <c r="C1673" s="48" t="n">
        <v>100</v>
      </c>
      <c r="D1673" s="49" t="inlineStr">
        <is>
          <t>Nicho</t>
        </is>
      </c>
      <c r="E1673" s="50" t="n">
        <v>200</v>
      </c>
      <c r="F1673" s="51">
        <f>E1673*$B$5*(1+$B$6)</f>
        <v>260000</v>
      </c>
      <c r="G1673" s="51">
        <f>F1673*$B$7</f>
        <v>650000</v>
      </c>
      <c r="H1673" s="51">
        <f>G1673-F1673</f>
        <v>390000</v>
      </c>
      <c r="I1673" s="52">
        <f>H1673/G1673</f>
        <v>0.6</v>
      </c>
      <c r="J1673" s="53" t="n"/>
      <c r="K1673" s="54" t="n"/>
    </row>
    <row r="1674">
      <c r="A1674" s="39" t="inlineStr">
        <is>
          <t>Scentologia</t>
        </is>
      </c>
      <c r="B1674" s="47" t="inlineStr">
        <is>
          <t>SCENTOLOGIA OVERDOSE EDP 100ML</t>
        </is>
      </c>
      <c r="C1674" s="48" t="n">
        <v>100</v>
      </c>
      <c r="D1674" s="49" t="inlineStr">
        <is>
          <t>Nicho</t>
        </is>
      </c>
      <c r="E1674" s="50" t="n">
        <v>200</v>
      </c>
      <c r="F1674" s="51">
        <f>E1674*$B$5*(1+$B$6)</f>
        <v>260000</v>
      </c>
      <c r="G1674" s="51">
        <f>F1674*$B$7</f>
        <v>650000</v>
      </c>
      <c r="H1674" s="51">
        <f>G1674-F1674</f>
        <v>390000</v>
      </c>
      <c r="I1674" s="52">
        <f>H1674/G1674</f>
        <v>0.6</v>
      </c>
      <c r="J1674" s="53" t="n"/>
      <c r="K1674" s="54" t="n"/>
    </row>
    <row r="1675">
      <c r="A1675" s="39" t="inlineStr">
        <is>
          <t>Scentologia</t>
        </is>
      </c>
      <c r="B1675" s="47" t="inlineStr">
        <is>
          <t>SCENTOLOGIA SENSORY EDP 100ML</t>
        </is>
      </c>
      <c r="C1675" s="48" t="n">
        <v>100</v>
      </c>
      <c r="D1675" s="49" t="inlineStr">
        <is>
          <t>Nicho</t>
        </is>
      </c>
      <c r="E1675" s="50" t="n">
        <v>200</v>
      </c>
      <c r="F1675" s="51">
        <f>E1675*$B$5*(1+$B$6)</f>
        <v>260000</v>
      </c>
      <c r="G1675" s="51">
        <f>F1675*$B$7</f>
        <v>650000</v>
      </c>
      <c r="H1675" s="51">
        <f>G1675-F1675</f>
        <v>390000</v>
      </c>
      <c r="I1675" s="52">
        <f>H1675/G1675</f>
        <v>0.6</v>
      </c>
      <c r="J1675" s="53" t="n"/>
      <c r="K1675" s="54" t="n"/>
    </row>
    <row r="1676">
      <c r="A1676" s="39" t="inlineStr">
        <is>
          <t>Scentologia</t>
        </is>
      </c>
      <c r="B1676" s="47" t="inlineStr">
        <is>
          <t>SCENTOLOGIA SILLAGE EDP 100ML</t>
        </is>
      </c>
      <c r="C1676" s="48" t="n">
        <v>100</v>
      </c>
      <c r="D1676" s="49" t="inlineStr">
        <is>
          <t>Nicho</t>
        </is>
      </c>
      <c r="E1676" s="50" t="n">
        <v>200</v>
      </c>
      <c r="F1676" s="51">
        <f>E1676*$B$5*(1+$B$6)</f>
        <v>260000</v>
      </c>
      <c r="G1676" s="51">
        <f>F1676*$B$7</f>
        <v>650000</v>
      </c>
      <c r="H1676" s="51">
        <f>G1676-F1676</f>
        <v>390000</v>
      </c>
      <c r="I1676" s="52">
        <f>H1676/G1676</f>
        <v>0.6</v>
      </c>
      <c r="J1676" s="53" t="n"/>
      <c r="K1676" s="54" t="n"/>
    </row>
    <row r="1677">
      <c r="A1677" s="39" t="inlineStr">
        <is>
          <t>Scentologia</t>
        </is>
      </c>
      <c r="B1677" s="47" t="inlineStr">
        <is>
          <t>SCENTOLOGIA SOLIFLORE EDP 100ML</t>
        </is>
      </c>
      <c r="C1677" s="48" t="n">
        <v>100</v>
      </c>
      <c r="D1677" s="49" t="inlineStr">
        <is>
          <t>Nicho</t>
        </is>
      </c>
      <c r="E1677" s="50" t="n">
        <v>200</v>
      </c>
      <c r="F1677" s="51">
        <f>E1677*$B$5*(1+$B$6)</f>
        <v>260000</v>
      </c>
      <c r="G1677" s="51">
        <f>F1677*$B$7</f>
        <v>650000</v>
      </c>
      <c r="H1677" s="51">
        <f>G1677-F1677</f>
        <v>390000</v>
      </c>
      <c r="I1677" s="52">
        <f>H1677/G1677</f>
        <v>0.6</v>
      </c>
      <c r="J1677" s="53" t="n"/>
      <c r="K1677" s="54" t="n"/>
    </row>
    <row r="1678">
      <c r="A1678" s="39" t="inlineStr">
        <is>
          <t>Scentologia</t>
        </is>
      </c>
      <c r="B1678" s="47" t="inlineStr">
        <is>
          <t>SCENTOLOGIA SYNERGY EDP 100ML</t>
        </is>
      </c>
      <c r="C1678" s="48" t="n">
        <v>100</v>
      </c>
      <c r="D1678" s="49" t="inlineStr">
        <is>
          <t>Nicho</t>
        </is>
      </c>
      <c r="E1678" s="50" t="n">
        <v>200</v>
      </c>
      <c r="F1678" s="51">
        <f>E1678*$B$5*(1+$B$6)</f>
        <v>260000</v>
      </c>
      <c r="G1678" s="51">
        <f>F1678*$B$7</f>
        <v>650000</v>
      </c>
      <c r="H1678" s="51">
        <f>G1678-F1678</f>
        <v>390000</v>
      </c>
      <c r="I1678" s="52">
        <f>H1678/G1678</f>
        <v>0.6</v>
      </c>
      <c r="J1678" s="53" t="n"/>
      <c r="K1678" s="54" t="n"/>
    </row>
    <row r="1679">
      <c r="A1679" s="39" t="inlineStr">
        <is>
          <t>Scentologia</t>
        </is>
      </c>
      <c r="B1679" s="47" t="inlineStr">
        <is>
          <t>SCENTOLOGIA TRACE EDP 100ML</t>
        </is>
      </c>
      <c r="C1679" s="48" t="n">
        <v>100</v>
      </c>
      <c r="D1679" s="49" t="inlineStr">
        <is>
          <t>Nicho</t>
        </is>
      </c>
      <c r="E1679" s="50" t="n">
        <v>200</v>
      </c>
      <c r="F1679" s="51">
        <f>E1679*$B$5*(1+$B$6)</f>
        <v>260000</v>
      </c>
      <c r="G1679" s="51">
        <f>F1679*$B$7</f>
        <v>650000</v>
      </c>
      <c r="H1679" s="51">
        <f>G1679-F1679</f>
        <v>390000</v>
      </c>
      <c r="I1679" s="52">
        <f>H1679/G1679</f>
        <v>0.6</v>
      </c>
      <c r="J1679" s="53" t="n"/>
      <c r="K1679" s="54" t="n"/>
    </row>
    <row r="1680">
      <c r="A1680" s="39" t="inlineStr">
        <is>
          <t>Scentologia</t>
        </is>
      </c>
      <c r="B1680" s="47" t="inlineStr">
        <is>
          <t>SCENTOLOGIA WOODYLANG EDP 100ML</t>
        </is>
      </c>
      <c r="C1680" s="48" t="n">
        <v>100</v>
      </c>
      <c r="D1680" s="49" t="inlineStr">
        <is>
          <t>Nicho</t>
        </is>
      </c>
      <c r="E1680" s="50" t="n">
        <v>200</v>
      </c>
      <c r="F1680" s="51">
        <f>E1680*$B$5*(1+$B$6)</f>
        <v>260000</v>
      </c>
      <c r="G1680" s="51">
        <f>F1680*$B$7</f>
        <v>650000</v>
      </c>
      <c r="H1680" s="51">
        <f>G1680-F1680</f>
        <v>390000</v>
      </c>
      <c r="I1680" s="52">
        <f>H1680/G1680</f>
        <v>0.6</v>
      </c>
      <c r="J1680" s="53" t="n"/>
      <c r="K1680" s="54" t="n"/>
    </row>
    <row r="1681">
      <c r="A1681" s="39" t="inlineStr">
        <is>
          <t>Scentologia</t>
        </is>
      </c>
      <c r="B1681" s="47" t="inlineStr">
        <is>
          <t>TESTER SCENTOLOGIA ABSOLUTE EDP 100ML</t>
        </is>
      </c>
      <c r="C1681" s="48" t="n">
        <v>100</v>
      </c>
      <c r="D1681" s="49" t="inlineStr">
        <is>
          <t>Tester</t>
        </is>
      </c>
      <c r="E1681" s="50" t="n">
        <v>200</v>
      </c>
      <c r="F1681" s="51">
        <f>E1681*$B$5*(1+$B$6)</f>
        <v>260000</v>
      </c>
      <c r="G1681" s="51">
        <f>F1681*$B$7</f>
        <v>650000</v>
      </c>
      <c r="H1681" s="51">
        <f>G1681-F1681</f>
        <v>390000</v>
      </c>
      <c r="I1681" s="52">
        <f>H1681/G1681</f>
        <v>0.6</v>
      </c>
      <c r="J1681" s="53" t="n"/>
      <c r="K1681" s="54" t="n"/>
    </row>
    <row r="1682">
      <c r="A1682" s="39" t="inlineStr">
        <is>
          <t>Scentologia</t>
        </is>
      </c>
      <c r="B1682" s="47" t="inlineStr">
        <is>
          <t>TESTER SCENTOLOGIA DARK OPULENCE EXTDP 100ML</t>
        </is>
      </c>
      <c r="C1682" s="48" t="n">
        <v>100</v>
      </c>
      <c r="D1682" s="49" t="inlineStr">
        <is>
          <t>Tester</t>
        </is>
      </c>
      <c r="E1682" s="50" t="n">
        <v>200</v>
      </c>
      <c r="F1682" s="51">
        <f>E1682*$B$5*(1+$B$6)</f>
        <v>260000</v>
      </c>
      <c r="G1682" s="51">
        <f>F1682*$B$7</f>
        <v>650000</v>
      </c>
      <c r="H1682" s="51">
        <f>G1682-F1682</f>
        <v>390000</v>
      </c>
      <c r="I1682" s="52">
        <f>H1682/G1682</f>
        <v>0.6</v>
      </c>
      <c r="J1682" s="53" t="n"/>
      <c r="K1682" s="54" t="n"/>
    </row>
    <row r="1683">
      <c r="A1683" s="39" t="inlineStr">
        <is>
          <t>Scentologia</t>
        </is>
      </c>
      <c r="B1683" s="47" t="inlineStr">
        <is>
          <t>TESTER SCENTOLOGIA FOREST BLENDS EDP 100ML</t>
        </is>
      </c>
      <c r="C1683" s="48" t="n">
        <v>100</v>
      </c>
      <c r="D1683" s="49" t="inlineStr">
        <is>
          <t>Tester</t>
        </is>
      </c>
      <c r="E1683" s="50" t="n">
        <v>200</v>
      </c>
      <c r="F1683" s="51">
        <f>E1683*$B$5*(1+$B$6)</f>
        <v>260000</v>
      </c>
      <c r="G1683" s="51">
        <f>F1683*$B$7</f>
        <v>650000</v>
      </c>
      <c r="H1683" s="51">
        <f>G1683-F1683</f>
        <v>390000</v>
      </c>
      <c r="I1683" s="52">
        <f>H1683/G1683</f>
        <v>0.6</v>
      </c>
      <c r="J1683" s="53" t="n"/>
      <c r="K1683" s="54" t="n"/>
    </row>
    <row r="1684">
      <c r="A1684" s="39" t="inlineStr">
        <is>
          <t>Scentologia</t>
        </is>
      </c>
      <c r="B1684" s="47" t="inlineStr">
        <is>
          <t>TESTER SCENTOLOGIA IMMORTAL POTION EXTDP 100ML</t>
        </is>
      </c>
      <c r="C1684" s="48" t="n">
        <v>100</v>
      </c>
      <c r="D1684" s="49" t="inlineStr">
        <is>
          <t>Tester</t>
        </is>
      </c>
      <c r="E1684" s="50" t="n">
        <v>200</v>
      </c>
      <c r="F1684" s="51">
        <f>E1684*$B$5*(1+$B$6)</f>
        <v>260000</v>
      </c>
      <c r="G1684" s="51">
        <f>F1684*$B$7</f>
        <v>650000</v>
      </c>
      <c r="H1684" s="51">
        <f>G1684-F1684</f>
        <v>390000</v>
      </c>
      <c r="I1684" s="52">
        <f>H1684/G1684</f>
        <v>0.6</v>
      </c>
      <c r="J1684" s="53" t="n"/>
      <c r="K1684" s="54" t="n"/>
    </row>
    <row r="1685">
      <c r="A1685" s="39" t="inlineStr">
        <is>
          <t>Scentologia</t>
        </is>
      </c>
      <c r="B1685" s="47" t="inlineStr">
        <is>
          <t>TESTER SCENTOLOGIA LACTONIC EDP 100ML</t>
        </is>
      </c>
      <c r="C1685" s="48" t="n">
        <v>100</v>
      </c>
      <c r="D1685" s="49" t="inlineStr">
        <is>
          <t>Tester</t>
        </is>
      </c>
      <c r="E1685" s="50" t="n">
        <v>200</v>
      </c>
      <c r="F1685" s="51">
        <f>E1685*$B$5*(1+$B$6)</f>
        <v>260000</v>
      </c>
      <c r="G1685" s="51">
        <f>F1685*$B$7</f>
        <v>650000</v>
      </c>
      <c r="H1685" s="51">
        <f>G1685-F1685</f>
        <v>390000</v>
      </c>
      <c r="I1685" s="52">
        <f>H1685/G1685</f>
        <v>0.6</v>
      </c>
      <c r="J1685" s="53" t="n"/>
      <c r="K1685" s="54" t="n"/>
    </row>
    <row r="1686">
      <c r="A1686" s="39" t="inlineStr">
        <is>
          <t>Scentologia</t>
        </is>
      </c>
      <c r="B1686" s="47" t="inlineStr">
        <is>
          <t>TESTER SCENTOLOGIA OBSIDIAN EXTDP 100ML</t>
        </is>
      </c>
      <c r="C1686" s="48" t="n">
        <v>100</v>
      </c>
      <c r="D1686" s="49" t="inlineStr">
        <is>
          <t>Tester</t>
        </is>
      </c>
      <c r="E1686" s="50" t="n">
        <v>200</v>
      </c>
      <c r="F1686" s="51">
        <f>E1686*$B$5*(1+$B$6)</f>
        <v>260000</v>
      </c>
      <c r="G1686" s="51">
        <f>F1686*$B$7</f>
        <v>650000</v>
      </c>
      <c r="H1686" s="51">
        <f>G1686-F1686</f>
        <v>390000</v>
      </c>
      <c r="I1686" s="52">
        <f>H1686/G1686</f>
        <v>0.6</v>
      </c>
      <c r="J1686" s="53" t="n"/>
      <c r="K1686" s="54" t="n"/>
    </row>
    <row r="1687">
      <c r="A1687" s="39" t="inlineStr">
        <is>
          <t>Scentologia</t>
        </is>
      </c>
      <c r="B1687" s="47" t="inlineStr">
        <is>
          <t>TESTER SCENTOLOGIA OVERDOSE EDP 100ML</t>
        </is>
      </c>
      <c r="C1687" s="48" t="n">
        <v>100</v>
      </c>
      <c r="D1687" s="49" t="inlineStr">
        <is>
          <t>Tester</t>
        </is>
      </c>
      <c r="E1687" s="50" t="n">
        <v>200</v>
      </c>
      <c r="F1687" s="51">
        <f>E1687*$B$5*(1+$B$6)</f>
        <v>260000</v>
      </c>
      <c r="G1687" s="51">
        <f>F1687*$B$7</f>
        <v>650000</v>
      </c>
      <c r="H1687" s="51">
        <f>G1687-F1687</f>
        <v>390000</v>
      </c>
      <c r="I1687" s="52">
        <f>H1687/G1687</f>
        <v>0.6</v>
      </c>
      <c r="J1687" s="53" t="n"/>
      <c r="K1687" s="54" t="n"/>
    </row>
    <row r="1688">
      <c r="A1688" s="39" t="inlineStr">
        <is>
          <t>Scentologia</t>
        </is>
      </c>
      <c r="B1688" s="47" t="inlineStr">
        <is>
          <t>TESTER SCENTOLOGIA SENSORY EDP 100ML</t>
        </is>
      </c>
      <c r="C1688" s="48" t="n">
        <v>100</v>
      </c>
      <c r="D1688" s="49" t="inlineStr">
        <is>
          <t>Tester</t>
        </is>
      </c>
      <c r="E1688" s="50" t="n">
        <v>200</v>
      </c>
      <c r="F1688" s="51">
        <f>E1688*$B$5*(1+$B$6)</f>
        <v>260000</v>
      </c>
      <c r="G1688" s="51">
        <f>F1688*$B$7</f>
        <v>650000</v>
      </c>
      <c r="H1688" s="51">
        <f>G1688-F1688</f>
        <v>390000</v>
      </c>
      <c r="I1688" s="52">
        <f>H1688/G1688</f>
        <v>0.6</v>
      </c>
      <c r="J1688" s="53" t="n"/>
      <c r="K1688" s="54" t="n"/>
    </row>
    <row r="1689">
      <c r="A1689" s="39" t="inlineStr">
        <is>
          <t>Scentologia</t>
        </is>
      </c>
      <c r="B1689" s="47" t="inlineStr">
        <is>
          <t>TESTER SCENTOLOGIA SILLAGE EDP 100ML</t>
        </is>
      </c>
      <c r="C1689" s="48" t="n">
        <v>100</v>
      </c>
      <c r="D1689" s="49" t="inlineStr">
        <is>
          <t>Tester</t>
        </is>
      </c>
      <c r="E1689" s="50" t="n">
        <v>200</v>
      </c>
      <c r="F1689" s="51">
        <f>E1689*$B$5*(1+$B$6)</f>
        <v>260000</v>
      </c>
      <c r="G1689" s="51">
        <f>F1689*$B$7</f>
        <v>650000</v>
      </c>
      <c r="H1689" s="51">
        <f>G1689-F1689</f>
        <v>390000</v>
      </c>
      <c r="I1689" s="52">
        <f>H1689/G1689</f>
        <v>0.6</v>
      </c>
      <c r="J1689" s="53" t="n"/>
      <c r="K1689" s="54" t="n"/>
    </row>
    <row r="1690">
      <c r="A1690" s="39" t="inlineStr">
        <is>
          <t>Scentologia</t>
        </is>
      </c>
      <c r="B1690" s="47" t="inlineStr">
        <is>
          <t>TESTER SCENTOLOGIA SYNERGY EDP 100ML</t>
        </is>
      </c>
      <c r="C1690" s="48" t="n">
        <v>100</v>
      </c>
      <c r="D1690" s="49" t="inlineStr">
        <is>
          <t>Tester</t>
        </is>
      </c>
      <c r="E1690" s="50" t="n">
        <v>200</v>
      </c>
      <c r="F1690" s="51">
        <f>E1690*$B$5*(1+$B$6)</f>
        <v>260000</v>
      </c>
      <c r="G1690" s="51">
        <f>F1690*$B$7</f>
        <v>650000</v>
      </c>
      <c r="H1690" s="51">
        <f>G1690-F1690</f>
        <v>390000</v>
      </c>
      <c r="I1690" s="52">
        <f>H1690/G1690</f>
        <v>0.6</v>
      </c>
      <c r="J1690" s="53" t="n"/>
      <c r="K1690" s="54" t="n"/>
    </row>
    <row r="1691">
      <c r="A1691" s="39" t="inlineStr">
        <is>
          <t>Scentologia</t>
        </is>
      </c>
      <c r="B1691" s="47" t="inlineStr">
        <is>
          <t>TESTER SCENTOLOGIA TRACE EDP 100ML</t>
        </is>
      </c>
      <c r="C1691" s="48" t="n">
        <v>100</v>
      </c>
      <c r="D1691" s="49" t="inlineStr">
        <is>
          <t>Tester</t>
        </is>
      </c>
      <c r="E1691" s="50" t="n">
        <v>200</v>
      </c>
      <c r="F1691" s="51">
        <f>E1691*$B$5*(1+$B$6)</f>
        <v>260000</v>
      </c>
      <c r="G1691" s="51">
        <f>F1691*$B$7</f>
        <v>650000</v>
      </c>
      <c r="H1691" s="51">
        <f>G1691-F1691</f>
        <v>390000</v>
      </c>
      <c r="I1691" s="52">
        <f>H1691/G1691</f>
        <v>0.6</v>
      </c>
      <c r="J1691" s="53" t="n"/>
      <c r="K1691" s="54" t="n"/>
    </row>
    <row r="1692">
      <c r="A1692" s="39" t="inlineStr">
        <is>
          <t>Scentologia</t>
        </is>
      </c>
      <c r="B1692" s="47" t="inlineStr">
        <is>
          <t>TESTER SCENTOLOGIA WOODYLANG EDP 100ML</t>
        </is>
      </c>
      <c r="C1692" s="48" t="n">
        <v>100</v>
      </c>
      <c r="D1692" s="49" t="inlineStr">
        <is>
          <t>Tester</t>
        </is>
      </c>
      <c r="E1692" s="50" t="n">
        <v>200</v>
      </c>
      <c r="F1692" s="51">
        <f>E1692*$B$5*(1+$B$6)</f>
        <v>260000</v>
      </c>
      <c r="G1692" s="51">
        <f>F1692*$B$7</f>
        <v>650000</v>
      </c>
      <c r="H1692" s="51">
        <f>G1692-F1692</f>
        <v>390000</v>
      </c>
      <c r="I1692" s="52">
        <f>H1692/G1692</f>
        <v>0.6</v>
      </c>
      <c r="J1692" s="53" t="n"/>
      <c r="K1692" s="54" t="n"/>
    </row>
    <row r="1693">
      <c r="A1693" s="39" t="inlineStr">
        <is>
          <t>Shakira</t>
        </is>
      </c>
      <c r="B1693" s="47" t="inlineStr">
        <is>
          <t>SHAKIRA DANCE MIDNIGHT EDT 80ML FEM</t>
        </is>
      </c>
      <c r="C1693" s="48" t="n">
        <v>80</v>
      </c>
      <c r="D1693" s="49" t="inlineStr">
        <is>
          <t>Diseñador</t>
        </is>
      </c>
      <c r="E1693" s="50" t="n">
        <v>14.25</v>
      </c>
      <c r="F1693" s="51">
        <f>E1693*$B$5*(1+$B$6)</f>
        <v>18525</v>
      </c>
      <c r="G1693" s="51">
        <f>F1693*$B$7</f>
        <v>46312.5</v>
      </c>
      <c r="H1693" s="51">
        <f>G1693-F1693</f>
        <v>27787.5</v>
      </c>
      <c r="I1693" s="52">
        <f>H1693/G1693</f>
        <v>0.6</v>
      </c>
      <c r="J1693" s="53" t="n"/>
      <c r="K1693" s="54" t="n"/>
    </row>
    <row r="1694">
      <c r="A1694" s="39" t="inlineStr">
        <is>
          <t>Shakira</t>
        </is>
      </c>
      <c r="B1694" s="47" t="inlineStr">
        <is>
          <t>SHAKIRA EDT 80ML FEM</t>
        </is>
      </c>
      <c r="C1694" s="48" t="n">
        <v>80</v>
      </c>
      <c r="D1694" s="49" t="inlineStr">
        <is>
          <t>Diseñador</t>
        </is>
      </c>
      <c r="E1694" s="50" t="n">
        <v>14.25</v>
      </c>
      <c r="F1694" s="51">
        <f>E1694*$B$5*(1+$B$6)</f>
        <v>18525</v>
      </c>
      <c r="G1694" s="51">
        <f>F1694*$B$7</f>
        <v>46312.5</v>
      </c>
      <c r="H1694" s="51">
        <f>G1694-F1694</f>
        <v>27787.5</v>
      </c>
      <c r="I1694" s="52">
        <f>H1694/G1694</f>
        <v>0.6</v>
      </c>
      <c r="J1694" s="53" t="n"/>
      <c r="K1694" s="54" t="n"/>
    </row>
    <row r="1695">
      <c r="A1695" s="39" t="inlineStr">
        <is>
          <t>Shakira</t>
        </is>
      </c>
      <c r="B1695" s="47" t="inlineStr">
        <is>
          <t>SHAKIRA ROCK EDT 80ML FEM</t>
        </is>
      </c>
      <c r="C1695" s="48" t="n">
        <v>80</v>
      </c>
      <c r="D1695" s="49" t="inlineStr">
        <is>
          <t>Diseñador</t>
        </is>
      </c>
      <c r="E1695" s="50" t="n">
        <v>14.5</v>
      </c>
      <c r="F1695" s="51">
        <f>E1695*$B$5*(1+$B$6)</f>
        <v>18850</v>
      </c>
      <c r="G1695" s="51">
        <f>F1695*$B$7</f>
        <v>47125</v>
      </c>
      <c r="H1695" s="51">
        <f>G1695-F1695</f>
        <v>28275</v>
      </c>
      <c r="I1695" s="52">
        <f>H1695/G1695</f>
        <v>0.6</v>
      </c>
      <c r="J1695" s="53" t="n"/>
      <c r="K1695" s="54" t="n"/>
    </row>
    <row r="1696">
      <c r="A1696" s="39" t="inlineStr">
        <is>
          <t>Shakira</t>
        </is>
      </c>
      <c r="B1696" s="47" t="inlineStr">
        <is>
          <t>SHAKIRA ROJO EDP 80ML FEM</t>
        </is>
      </c>
      <c r="C1696" s="48" t="n">
        <v>80</v>
      </c>
      <c r="D1696" s="49" t="inlineStr">
        <is>
          <t>Diseñador</t>
        </is>
      </c>
      <c r="E1696" s="50" t="n">
        <v>18.5</v>
      </c>
      <c r="F1696" s="51">
        <f>E1696*$B$5*(1+$B$6)</f>
        <v>24050</v>
      </c>
      <c r="G1696" s="51">
        <f>F1696*$B$7</f>
        <v>60125</v>
      </c>
      <c r="H1696" s="51">
        <f>G1696-F1696</f>
        <v>36075</v>
      </c>
      <c r="I1696" s="52">
        <f>H1696/G1696</f>
        <v>0.6</v>
      </c>
      <c r="J1696" s="53" t="n"/>
      <c r="K1696" s="54" t="n"/>
    </row>
    <row r="1697">
      <c r="A1697" s="39" t="inlineStr">
        <is>
          <t>Shakira</t>
        </is>
      </c>
      <c r="B1697" s="47" t="inlineStr">
        <is>
          <t>SHAKIRA ROJO ELIXIR EDP 80ML FEM</t>
        </is>
      </c>
      <c r="C1697" s="48" t="n">
        <v>80</v>
      </c>
      <c r="D1697" s="49" t="inlineStr">
        <is>
          <t>Diseñador</t>
        </is>
      </c>
      <c r="E1697" s="50" t="n">
        <v>18.5</v>
      </c>
      <c r="F1697" s="51">
        <f>E1697*$B$5*(1+$B$6)</f>
        <v>24050</v>
      </c>
      <c r="G1697" s="51">
        <f>F1697*$B$7</f>
        <v>60125</v>
      </c>
      <c r="H1697" s="51">
        <f>G1697-F1697</f>
        <v>36075</v>
      </c>
      <c r="I1697" s="52">
        <f>H1697/G1697</f>
        <v>0.6</v>
      </c>
      <c r="J1697" s="53" t="n"/>
      <c r="K1697" s="54" t="n"/>
    </row>
    <row r="1698">
      <c r="A1698" s="39" t="inlineStr">
        <is>
          <t>Smart Collection</t>
        </is>
      </c>
      <c r="B1698" s="47" t="inlineStr">
        <is>
          <t>SMART COLLECTION N 002 EDP 25ML (FARENHEIT)</t>
        </is>
      </c>
      <c r="C1698" s="48" t="n">
        <v>25</v>
      </c>
      <c r="D1698" s="49" t="inlineStr">
        <is>
          <t>Árabe</t>
        </is>
      </c>
      <c r="E1698" s="50" t="n">
        <v>5</v>
      </c>
      <c r="F1698" s="51">
        <f>E1698*$B$5*(1+$B$6)</f>
        <v>6500</v>
      </c>
      <c r="G1698" s="51">
        <f>F1698*$B$7</f>
        <v>16250</v>
      </c>
      <c r="H1698" s="51">
        <f>G1698-F1698</f>
        <v>9750</v>
      </c>
      <c r="I1698" s="52">
        <f>H1698/G1698</f>
        <v>0.6</v>
      </c>
      <c r="J1698" s="53" t="n"/>
      <c r="K1698" s="54" t="inlineStr">
        <is>
          <t>clon/genérico</t>
        </is>
      </c>
    </row>
    <row r="1699">
      <c r="A1699" s="39" t="inlineStr">
        <is>
          <t>Smart Collection</t>
        </is>
      </c>
      <c r="B1699" s="47" t="inlineStr">
        <is>
          <t>SMART COLLECTION N 012 EDP 25ML (CHANEL NO 5)</t>
        </is>
      </c>
      <c r="C1699" s="48" t="n">
        <v>25</v>
      </c>
      <c r="D1699" s="49" t="inlineStr">
        <is>
          <t>Árabe</t>
        </is>
      </c>
      <c r="E1699" s="50" t="n">
        <v>5</v>
      </c>
      <c r="F1699" s="51">
        <f>E1699*$B$5*(1+$B$6)</f>
        <v>6500</v>
      </c>
      <c r="G1699" s="51">
        <f>F1699*$B$7</f>
        <v>16250</v>
      </c>
      <c r="H1699" s="51">
        <f>G1699-F1699</f>
        <v>9750</v>
      </c>
      <c r="I1699" s="52">
        <f>H1699/G1699</f>
        <v>0.6</v>
      </c>
      <c r="J1699" s="53" t="n"/>
      <c r="K1699" s="54" t="inlineStr">
        <is>
          <t>clon/genérico</t>
        </is>
      </c>
    </row>
    <row r="1700">
      <c r="A1700" s="39" t="inlineStr">
        <is>
          <t>Smart Collection</t>
        </is>
      </c>
      <c r="B1700" s="47" t="inlineStr">
        <is>
          <t>SMART COLLECTION N 216 EDP 25ML (EUPHORIA MEN)</t>
        </is>
      </c>
      <c r="C1700" s="48" t="n">
        <v>25</v>
      </c>
      <c r="D1700" s="49" t="inlineStr">
        <is>
          <t>Árabe</t>
        </is>
      </c>
      <c r="E1700" s="50" t="n">
        <v>5</v>
      </c>
      <c r="F1700" s="51">
        <f>E1700*$B$5*(1+$B$6)</f>
        <v>6500</v>
      </c>
      <c r="G1700" s="51">
        <f>F1700*$B$7</f>
        <v>16250</v>
      </c>
      <c r="H1700" s="51">
        <f>G1700-F1700</f>
        <v>9750</v>
      </c>
      <c r="I1700" s="52">
        <f>H1700/G1700</f>
        <v>0.6</v>
      </c>
      <c r="J1700" s="53" t="n"/>
      <c r="K1700" s="54" t="inlineStr">
        <is>
          <t>clon/genérico</t>
        </is>
      </c>
    </row>
    <row r="1701">
      <c r="A1701" s="39" t="inlineStr">
        <is>
          <t>Smart Collection</t>
        </is>
      </c>
      <c r="B1701" s="47" t="inlineStr">
        <is>
          <t>SMART COLLECTION N 229 EDP 25ML (POLO BLACK)</t>
        </is>
      </c>
      <c r="C1701" s="48" t="n">
        <v>25</v>
      </c>
      <c r="D1701" s="49" t="inlineStr">
        <is>
          <t>Árabe</t>
        </is>
      </c>
      <c r="E1701" s="50" t="n">
        <v>5</v>
      </c>
      <c r="F1701" s="51">
        <f>E1701*$B$5*(1+$B$6)</f>
        <v>6500</v>
      </c>
      <c r="G1701" s="51">
        <f>F1701*$B$7</f>
        <v>16250</v>
      </c>
      <c r="H1701" s="51">
        <f>G1701-F1701</f>
        <v>9750</v>
      </c>
      <c r="I1701" s="52">
        <f>H1701/G1701</f>
        <v>0.6</v>
      </c>
      <c r="J1701" s="53" t="n"/>
      <c r="K1701" s="54" t="inlineStr">
        <is>
          <t>clon/genérico</t>
        </is>
      </c>
    </row>
    <row r="1702">
      <c r="A1702" s="39" t="inlineStr">
        <is>
          <t>Smart Collection</t>
        </is>
      </c>
      <c r="B1702" s="47" t="inlineStr">
        <is>
          <t>SMART COLLECTION N 287 EDP 25ML (GUCCI FLORA)</t>
        </is>
      </c>
      <c r="C1702" s="48" t="n">
        <v>25</v>
      </c>
      <c r="D1702" s="49" t="inlineStr">
        <is>
          <t>Árabe</t>
        </is>
      </c>
      <c r="E1702" s="50" t="n">
        <v>5</v>
      </c>
      <c r="F1702" s="51">
        <f>E1702*$B$5*(1+$B$6)</f>
        <v>6500</v>
      </c>
      <c r="G1702" s="51">
        <f>F1702*$B$7</f>
        <v>16250</v>
      </c>
      <c r="H1702" s="51">
        <f>G1702-F1702</f>
        <v>9750</v>
      </c>
      <c r="I1702" s="52">
        <f>H1702/G1702</f>
        <v>0.6</v>
      </c>
      <c r="J1702" s="53" t="n"/>
      <c r="K1702" s="54" t="inlineStr">
        <is>
          <t>clon/genérico</t>
        </is>
      </c>
    </row>
    <row r="1703">
      <c r="A1703" s="39" t="inlineStr">
        <is>
          <t>Smart Collection</t>
        </is>
      </c>
      <c r="B1703" s="47" t="inlineStr">
        <is>
          <t>SMART COLLECTION N 317 EDP 25ML (DIOR HOMME INTENSE)</t>
        </is>
      </c>
      <c r="C1703" s="48" t="n">
        <v>25</v>
      </c>
      <c r="D1703" s="49" t="inlineStr">
        <is>
          <t>Árabe</t>
        </is>
      </c>
      <c r="E1703" s="50" t="n">
        <v>5</v>
      </c>
      <c r="F1703" s="51">
        <f>E1703*$B$5*(1+$B$6)</f>
        <v>6500</v>
      </c>
      <c r="G1703" s="51">
        <f>F1703*$B$7</f>
        <v>16250</v>
      </c>
      <c r="H1703" s="51">
        <f>G1703-F1703</f>
        <v>9750</v>
      </c>
      <c r="I1703" s="52">
        <f>H1703/G1703</f>
        <v>0.6</v>
      </c>
      <c r="J1703" s="53" t="n"/>
      <c r="K1703" s="54" t="inlineStr">
        <is>
          <t>clon/genérico</t>
        </is>
      </c>
    </row>
    <row r="1704">
      <c r="A1704" s="39" t="inlineStr">
        <is>
          <t>Smart Collection</t>
        </is>
      </c>
      <c r="B1704" s="47" t="inlineStr">
        <is>
          <t>SMART COLLECTION N 443 EDP 25ML (AMWAGE)</t>
        </is>
      </c>
      <c r="C1704" s="48" t="n">
        <v>25</v>
      </c>
      <c r="D1704" s="49" t="inlineStr">
        <is>
          <t>Árabe</t>
        </is>
      </c>
      <c r="E1704" s="50" t="n">
        <v>5</v>
      </c>
      <c r="F1704" s="51">
        <f>E1704*$B$5*(1+$B$6)</f>
        <v>6500</v>
      </c>
      <c r="G1704" s="51">
        <f>F1704*$B$7</f>
        <v>16250</v>
      </c>
      <c r="H1704" s="51">
        <f>G1704-F1704</f>
        <v>9750</v>
      </c>
      <c r="I1704" s="52">
        <f>H1704/G1704</f>
        <v>0.6</v>
      </c>
      <c r="J1704" s="53" t="n"/>
      <c r="K1704" s="54" t="inlineStr">
        <is>
          <t>clon/genérico</t>
        </is>
      </c>
    </row>
    <row r="1705">
      <c r="A1705" s="39" t="inlineStr">
        <is>
          <t>Smart Collection</t>
        </is>
      </c>
      <c r="B1705" s="47" t="inlineStr">
        <is>
          <t>SMART COLLECTION N 448 EDP 25ML (212 VIP ROSE)</t>
        </is>
      </c>
      <c r="C1705" s="48" t="n">
        <v>25</v>
      </c>
      <c r="D1705" s="49" t="inlineStr">
        <is>
          <t>Árabe</t>
        </is>
      </c>
      <c r="E1705" s="50" t="n">
        <v>5</v>
      </c>
      <c r="F1705" s="51">
        <f>E1705*$B$5*(1+$B$6)</f>
        <v>6500</v>
      </c>
      <c r="G1705" s="51">
        <f>F1705*$B$7</f>
        <v>16250</v>
      </c>
      <c r="H1705" s="51">
        <f>G1705-F1705</f>
        <v>9750</v>
      </c>
      <c r="I1705" s="52">
        <f>H1705/G1705</f>
        <v>0.6</v>
      </c>
      <c r="J1705" s="53" t="n"/>
      <c r="K1705" s="54" t="inlineStr">
        <is>
          <t>clon/genérico</t>
        </is>
      </c>
    </row>
    <row r="1706">
      <c r="A1706" s="39" t="inlineStr">
        <is>
          <t>Smart Collection</t>
        </is>
      </c>
      <c r="B1706" s="47" t="inlineStr">
        <is>
          <t>SMART COLLECTION N 579 EDP 25ML (LOUIS VUITTON)</t>
        </is>
      </c>
      <c r="C1706" s="48" t="n">
        <v>25</v>
      </c>
      <c r="D1706" s="49" t="inlineStr">
        <is>
          <t>Árabe</t>
        </is>
      </c>
      <c r="E1706" s="50" t="n">
        <v>5</v>
      </c>
      <c r="F1706" s="51">
        <f>E1706*$B$5*(1+$B$6)</f>
        <v>6500</v>
      </c>
      <c r="G1706" s="51">
        <f>F1706*$B$7</f>
        <v>16250</v>
      </c>
      <c r="H1706" s="51">
        <f>G1706-F1706</f>
        <v>9750</v>
      </c>
      <c r="I1706" s="52">
        <f>H1706/G1706</f>
        <v>0.6</v>
      </c>
      <c r="J1706" s="53" t="n"/>
      <c r="K1706" s="54" t="inlineStr">
        <is>
          <t>clon/genérico</t>
        </is>
      </c>
    </row>
    <row r="1707">
      <c r="A1707" s="39" t="inlineStr">
        <is>
          <t>Sospiro</t>
        </is>
      </c>
      <c r="B1707" s="47" t="inlineStr">
        <is>
          <t>SOSPIRO ACCENTO VIOLA EDP 100ML</t>
        </is>
      </c>
      <c r="C1707" s="48" t="n">
        <v>100</v>
      </c>
      <c r="D1707" s="49" t="inlineStr">
        <is>
          <t>Nicho</t>
        </is>
      </c>
      <c r="E1707" s="50" t="n">
        <v>208</v>
      </c>
      <c r="F1707" s="51">
        <f>E1707*$B$5*(1+$B$6)</f>
        <v>270400</v>
      </c>
      <c r="G1707" s="51">
        <f>F1707*$B$7</f>
        <v>676000</v>
      </c>
      <c r="H1707" s="51">
        <f>G1707-F1707</f>
        <v>405600</v>
      </c>
      <c r="I1707" s="52">
        <f>H1707/G1707</f>
        <v>0.6</v>
      </c>
      <c r="J1707" s="53" t="n"/>
      <c r="K1707" s="54" t="n"/>
    </row>
    <row r="1708">
      <c r="A1708" s="39" t="inlineStr">
        <is>
          <t>Sospiro</t>
        </is>
      </c>
      <c r="B1708" s="47" t="inlineStr">
        <is>
          <t>SOSPIRO CADENZA EDP 100ML UNISEX</t>
        </is>
      </c>
      <c r="C1708" s="48" t="n">
        <v>100</v>
      </c>
      <c r="D1708" s="49" t="inlineStr">
        <is>
          <t>Nicho</t>
        </is>
      </c>
      <c r="E1708" s="50" t="n">
        <v>190</v>
      </c>
      <c r="F1708" s="51">
        <f>E1708*$B$5*(1+$B$6)</f>
        <v>247000</v>
      </c>
      <c r="G1708" s="51">
        <f>F1708*$B$7</f>
        <v>617500</v>
      </c>
      <c r="H1708" s="51">
        <f>G1708-F1708</f>
        <v>370500</v>
      </c>
      <c r="I1708" s="52">
        <f>H1708/G1708</f>
        <v>0.6</v>
      </c>
      <c r="J1708" s="53" t="n"/>
      <c r="K1708" s="54" t="n"/>
    </row>
    <row r="1709">
      <c r="A1709" s="39" t="inlineStr">
        <is>
          <t>Sospiro</t>
        </is>
      </c>
      <c r="B1709" s="47" t="inlineStr">
        <is>
          <t>SOSPIRO DIVA EDP 75ML</t>
        </is>
      </c>
      <c r="C1709" s="48" t="n">
        <v>75</v>
      </c>
      <c r="D1709" s="49" t="inlineStr">
        <is>
          <t>Nicho</t>
        </is>
      </c>
      <c r="E1709" s="50" t="n">
        <v>149</v>
      </c>
      <c r="F1709" s="51">
        <f>E1709*$B$5*(1+$B$6)</f>
        <v>193700</v>
      </c>
      <c r="G1709" s="51">
        <f>F1709*$B$7</f>
        <v>484250</v>
      </c>
      <c r="H1709" s="51">
        <f>G1709-F1709</f>
        <v>290550</v>
      </c>
      <c r="I1709" s="52">
        <f>H1709/G1709</f>
        <v>0.6</v>
      </c>
      <c r="J1709" s="53" t="n"/>
      <c r="K1709" s="54" t="n"/>
    </row>
    <row r="1710">
      <c r="A1710" s="39" t="inlineStr">
        <is>
          <t>Sospiro</t>
        </is>
      </c>
      <c r="B1710" s="47" t="inlineStr">
        <is>
          <t>SOSPIRO ERBA LEATHER EDP 100ML</t>
        </is>
      </c>
      <c r="C1710" s="48" t="n">
        <v>100</v>
      </c>
      <c r="D1710" s="49" t="inlineStr">
        <is>
          <t>Nicho</t>
        </is>
      </c>
      <c r="E1710" s="50" t="n">
        <v>130</v>
      </c>
      <c r="F1710" s="51">
        <f>E1710*$B$5*(1+$B$6)</f>
        <v>169000</v>
      </c>
      <c r="G1710" s="51">
        <f>F1710*$B$7</f>
        <v>422500</v>
      </c>
      <c r="H1710" s="51">
        <f>G1710-F1710</f>
        <v>253500</v>
      </c>
      <c r="I1710" s="52">
        <f>H1710/G1710</f>
        <v>0.6</v>
      </c>
      <c r="J1710" s="53" t="n"/>
      <c r="K1710" s="54" t="n"/>
    </row>
    <row r="1711">
      <c r="A1711" s="39" t="inlineStr">
        <is>
          <t>Sospiro</t>
        </is>
      </c>
      <c r="B1711" s="47" t="inlineStr">
        <is>
          <t>SOSPIRO ERBA OUD EDP 100ML</t>
        </is>
      </c>
      <c r="C1711" s="48" t="n">
        <v>100</v>
      </c>
      <c r="D1711" s="49" t="inlineStr">
        <is>
          <t>Nicho</t>
        </is>
      </c>
      <c r="E1711" s="50" t="n">
        <v>119</v>
      </c>
      <c r="F1711" s="51">
        <f>E1711*$B$5*(1+$B$6)</f>
        <v>154700</v>
      </c>
      <c r="G1711" s="51">
        <f>F1711*$B$7</f>
        <v>386750</v>
      </c>
      <c r="H1711" s="51">
        <f>G1711-F1711</f>
        <v>232050</v>
      </c>
      <c r="I1711" s="52">
        <f>H1711/G1711</f>
        <v>0.6</v>
      </c>
      <c r="J1711" s="53" t="n"/>
      <c r="K1711" s="54" t="n"/>
    </row>
    <row r="1712">
      <c r="A1712" s="39" t="inlineStr">
        <is>
          <t>Sospiro</t>
        </is>
      </c>
      <c r="B1712" s="47" t="inlineStr">
        <is>
          <t>SOSPIRO MARASCHINO EDP 100ML UNISEX</t>
        </is>
      </c>
      <c r="C1712" s="48" t="n">
        <v>100</v>
      </c>
      <c r="D1712" s="49" t="inlineStr">
        <is>
          <t>Nicho</t>
        </is>
      </c>
      <c r="E1712" s="50" t="n">
        <v>200</v>
      </c>
      <c r="F1712" s="51">
        <f>E1712*$B$5*(1+$B$6)</f>
        <v>260000</v>
      </c>
      <c r="G1712" s="51">
        <f>F1712*$B$7</f>
        <v>650000</v>
      </c>
      <c r="H1712" s="51">
        <f>G1712-F1712</f>
        <v>390000</v>
      </c>
      <c r="I1712" s="52">
        <f>H1712/G1712</f>
        <v>0.6</v>
      </c>
      <c r="J1712" s="53" t="n"/>
      <c r="K1712" s="54" t="n"/>
    </row>
    <row r="1713">
      <c r="A1713" s="39" t="inlineStr">
        <is>
          <t>Sospiro</t>
        </is>
      </c>
      <c r="B1713" s="47" t="inlineStr">
        <is>
          <t>SOSPIRO OPERA GRANDE EDP 100ML</t>
        </is>
      </c>
      <c r="C1713" s="48" t="n">
        <v>100</v>
      </c>
      <c r="D1713" s="49" t="inlineStr">
        <is>
          <t>Nicho</t>
        </is>
      </c>
      <c r="E1713" s="50" t="n">
        <v>213</v>
      </c>
      <c r="F1713" s="51">
        <f>E1713*$B$5*(1+$B$6)</f>
        <v>276900</v>
      </c>
      <c r="G1713" s="51">
        <f>F1713*$B$7</f>
        <v>692250</v>
      </c>
      <c r="H1713" s="51">
        <f>G1713-F1713</f>
        <v>415350</v>
      </c>
      <c r="I1713" s="52">
        <f>H1713/G1713</f>
        <v>0.6</v>
      </c>
      <c r="J1713" s="53" t="n"/>
      <c r="K1713" s="54" t="n"/>
    </row>
    <row r="1714">
      <c r="A1714" s="39" t="inlineStr">
        <is>
          <t>Sospiro</t>
        </is>
      </c>
      <c r="B1714" s="47" t="inlineStr">
        <is>
          <t>SOSPIRO VIBRANNA EDP 100ML UNISEX</t>
        </is>
      </c>
      <c r="C1714" s="48" t="n">
        <v>100</v>
      </c>
      <c r="D1714" s="49" t="inlineStr">
        <is>
          <t>Nicho</t>
        </is>
      </c>
      <c r="E1714" s="50" t="n">
        <v>204</v>
      </c>
      <c r="F1714" s="51">
        <f>E1714*$B$5*(1+$B$6)</f>
        <v>265200</v>
      </c>
      <c r="G1714" s="51">
        <f>F1714*$B$7</f>
        <v>663000</v>
      </c>
      <c r="H1714" s="51">
        <f>G1714-F1714</f>
        <v>397800</v>
      </c>
      <c r="I1714" s="52">
        <f>H1714/G1714</f>
        <v>0.6</v>
      </c>
      <c r="J1714" s="53" t="n"/>
      <c r="K1714" s="54" t="n"/>
    </row>
    <row r="1715">
      <c r="A1715" s="39" t="inlineStr">
        <is>
          <t>Ted Lapidus Paris</t>
        </is>
      </c>
      <c r="B1715" s="47" t="inlineStr">
        <is>
          <t>TED LAPIDUS POUR HOMME EDT 100ML MASCULINO</t>
        </is>
      </c>
      <c r="C1715" s="48" t="n">
        <v>100</v>
      </c>
      <c r="D1715" s="49" t="inlineStr">
        <is>
          <t>Diseñador</t>
        </is>
      </c>
      <c r="E1715" s="50" t="n">
        <v>15.75</v>
      </c>
      <c r="F1715" s="51">
        <f>E1715*$B$5*(1+$B$6)</f>
        <v>20475</v>
      </c>
      <c r="G1715" s="51">
        <f>F1715*$B$7</f>
        <v>51187.5</v>
      </c>
      <c r="H1715" s="51">
        <f>G1715-F1715</f>
        <v>30712.5</v>
      </c>
      <c r="I1715" s="52">
        <f>H1715/G1715</f>
        <v>0.6</v>
      </c>
      <c r="J1715" s="53" t="n"/>
      <c r="K1715" s="54" t="n"/>
    </row>
    <row r="1716">
      <c r="A1716" s="39" t="inlineStr">
        <is>
          <t>Ted Lapidus Paris</t>
        </is>
      </c>
      <c r="B1716" s="47" t="inlineStr">
        <is>
          <t>TESTER TED LAPIDUS POUR HOMME EDT 100ML MASCULINO</t>
        </is>
      </c>
      <c r="C1716" s="48" t="n">
        <v>100</v>
      </c>
      <c r="D1716" s="49" t="inlineStr">
        <is>
          <t>Tester</t>
        </is>
      </c>
      <c r="E1716" s="50" t="n">
        <v>13</v>
      </c>
      <c r="F1716" s="51">
        <f>E1716*$B$5*(1+$B$6)</f>
        <v>16900</v>
      </c>
      <c r="G1716" s="51">
        <f>F1716*$B$7</f>
        <v>42250</v>
      </c>
      <c r="H1716" s="51">
        <f>G1716-F1716</f>
        <v>25350</v>
      </c>
      <c r="I1716" s="52">
        <f>H1716/G1716</f>
        <v>0.6</v>
      </c>
      <c r="J1716" s="53" t="n"/>
      <c r="K1716" s="54" t="n"/>
    </row>
    <row r="1717">
      <c r="A1717" s="39" t="inlineStr">
        <is>
          <t>Thameen</t>
        </is>
      </c>
      <c r="B1717" s="47" t="inlineStr">
        <is>
          <t>THAMEEN AMBER ROOM EXTRAIT DE PARFUM 100ML</t>
        </is>
      </c>
      <c r="C1717" s="48" t="n">
        <v>100</v>
      </c>
      <c r="D1717" s="49" t="inlineStr">
        <is>
          <t>Nicho</t>
        </is>
      </c>
      <c r="E1717" s="50" t="n">
        <v>230</v>
      </c>
      <c r="F1717" s="51">
        <f>E1717*$B$5*(1+$B$6)</f>
        <v>299000</v>
      </c>
      <c r="G1717" s="51">
        <f>F1717*$B$7</f>
        <v>747500</v>
      </c>
      <c r="H1717" s="51">
        <f>G1717-F1717</f>
        <v>448500</v>
      </c>
      <c r="I1717" s="52">
        <f>H1717/G1717</f>
        <v>0.6</v>
      </c>
      <c r="J1717" s="53" t="n"/>
      <c r="K1717" s="54" t="n"/>
    </row>
    <row r="1718">
      <c r="A1718" s="39" t="inlineStr">
        <is>
          <t>Thameen</t>
        </is>
      </c>
      <c r="B1718" s="47" t="inlineStr">
        <is>
          <t>THAMEEN BOHEMIAN INFUSION EDC 100ML UNISEX</t>
        </is>
      </c>
      <c r="C1718" s="48" t="n">
        <v>100</v>
      </c>
      <c r="D1718" s="49" t="inlineStr">
        <is>
          <t>Nicho</t>
        </is>
      </c>
      <c r="E1718" s="50" t="n">
        <v>240</v>
      </c>
      <c r="F1718" s="51">
        <f>E1718*$B$5*(1+$B$6)</f>
        <v>312000</v>
      </c>
      <c r="G1718" s="51">
        <f>F1718*$B$7</f>
        <v>780000</v>
      </c>
      <c r="H1718" s="51">
        <f>G1718-F1718</f>
        <v>468000</v>
      </c>
      <c r="I1718" s="52">
        <f>H1718/G1718</f>
        <v>0.6</v>
      </c>
      <c r="J1718" s="53" t="n"/>
      <c r="K1718" s="54" t="n"/>
    </row>
    <row r="1719">
      <c r="A1719" s="39" t="inlineStr">
        <is>
          <t>Thameen</t>
        </is>
      </c>
      <c r="B1719" s="47" t="inlineStr">
        <is>
          <t>THAMEEN INSIGNIA EXTRAIT DE PARFUM 50ML</t>
        </is>
      </c>
      <c r="C1719" s="48" t="n">
        <v>50</v>
      </c>
      <c r="D1719" s="49" t="inlineStr">
        <is>
          <t>Nicho</t>
        </is>
      </c>
      <c r="E1719" s="50" t="n">
        <v>195</v>
      </c>
      <c r="F1719" s="51">
        <f>E1719*$B$5*(1+$B$6)</f>
        <v>253500</v>
      </c>
      <c r="G1719" s="51">
        <f>F1719*$B$7</f>
        <v>633750</v>
      </c>
      <c r="H1719" s="51">
        <f>G1719-F1719</f>
        <v>380250</v>
      </c>
      <c r="I1719" s="52">
        <f>H1719/G1719</f>
        <v>0.6</v>
      </c>
      <c r="J1719" s="53" t="n"/>
      <c r="K1719" s="54" t="n"/>
    </row>
    <row r="1720">
      <c r="A1720" s="39" t="inlineStr">
        <is>
          <t>Thameen</t>
        </is>
      </c>
      <c r="B1720" s="47" t="inlineStr">
        <is>
          <t>THAMEEN RIVIERE EXTRAIT DE PARFUM 50ML UNISEX</t>
        </is>
      </c>
      <c r="C1720" s="48" t="n">
        <v>50</v>
      </c>
      <c r="D1720" s="49" t="inlineStr">
        <is>
          <t>Nicho</t>
        </is>
      </c>
      <c r="E1720" s="50" t="n">
        <v>210</v>
      </c>
      <c r="F1720" s="51">
        <f>E1720*$B$5*(1+$B$6)</f>
        <v>273000</v>
      </c>
      <c r="G1720" s="51">
        <f>F1720*$B$7</f>
        <v>682500</v>
      </c>
      <c r="H1720" s="51">
        <f>G1720-F1720</f>
        <v>409500</v>
      </c>
      <c r="I1720" s="52">
        <f>H1720/G1720</f>
        <v>0.6</v>
      </c>
      <c r="J1720" s="53" t="n"/>
      <c r="K1720" s="54" t="n"/>
    </row>
    <row r="1721">
      <c r="A1721" s="39" t="inlineStr">
        <is>
          <t>Thameen</t>
        </is>
      </c>
      <c r="B1721" s="47" t="inlineStr">
        <is>
          <t>THAMEEN SCEPTRE EXTRAIT DE PARFUM 50ML</t>
        </is>
      </c>
      <c r="C1721" s="48" t="n">
        <v>50</v>
      </c>
      <c r="D1721" s="49" t="inlineStr">
        <is>
          <t>Nicho</t>
        </is>
      </c>
      <c r="E1721" s="50" t="n">
        <v>200</v>
      </c>
      <c r="F1721" s="51">
        <f>E1721*$B$5*(1+$B$6)</f>
        <v>260000</v>
      </c>
      <c r="G1721" s="51">
        <f>F1721*$B$7</f>
        <v>650000</v>
      </c>
      <c r="H1721" s="51">
        <f>G1721-F1721</f>
        <v>390000</v>
      </c>
      <c r="I1721" s="52">
        <f>H1721/G1721</f>
        <v>0.6</v>
      </c>
      <c r="J1721" s="53" t="n"/>
      <c r="K1721" s="54" t="n"/>
    </row>
    <row r="1722">
      <c r="A1722" s="39" t="inlineStr">
        <is>
          <t>The House of Oud</t>
        </is>
      </c>
      <c r="B1722" s="47" t="inlineStr">
        <is>
          <t>THOO HOUSE BLESSING SILENCE EDP 75ML</t>
        </is>
      </c>
      <c r="C1722" s="48" t="n">
        <v>75</v>
      </c>
      <c r="D1722" s="49" t="inlineStr">
        <is>
          <t>Nicho</t>
        </is>
      </c>
      <c r="E1722" s="50" t="n">
        <v>237</v>
      </c>
      <c r="F1722" s="51">
        <f>E1722*$B$5*(1+$B$6)</f>
        <v>308100</v>
      </c>
      <c r="G1722" s="51">
        <f>F1722*$B$7</f>
        <v>770250</v>
      </c>
      <c r="H1722" s="51">
        <f>G1722-F1722</f>
        <v>462150</v>
      </c>
      <c r="I1722" s="52">
        <f>H1722/G1722</f>
        <v>0.6</v>
      </c>
      <c r="J1722" s="53" t="n"/>
      <c r="K1722" s="54" t="n"/>
    </row>
    <row r="1723">
      <c r="A1723" s="39" t="inlineStr">
        <is>
          <t>The House of Oud</t>
        </is>
      </c>
      <c r="B1723" s="47" t="inlineStr">
        <is>
          <t>THOO HOUSE CROP 2023 EDITION EDP 75ML UNISSEX</t>
        </is>
      </c>
      <c r="C1723" s="48" t="n">
        <v>75</v>
      </c>
      <c r="D1723" s="49" t="inlineStr">
        <is>
          <t>Nicho</t>
        </is>
      </c>
      <c r="E1723" s="50" t="n">
        <v>275</v>
      </c>
      <c r="F1723" s="51">
        <f>E1723*$B$5*(1+$B$6)</f>
        <v>357500</v>
      </c>
      <c r="G1723" s="51">
        <f>F1723*$B$7</f>
        <v>893750</v>
      </c>
      <c r="H1723" s="51">
        <f>G1723-F1723</f>
        <v>536250</v>
      </c>
      <c r="I1723" s="52">
        <f>H1723/G1723</f>
        <v>0.6</v>
      </c>
      <c r="J1723" s="53" t="n"/>
      <c r="K1723" s="54" t="n"/>
    </row>
    <row r="1724">
      <c r="A1724" s="39" t="inlineStr">
        <is>
          <t>The House of Oud</t>
        </is>
      </c>
      <c r="B1724" s="47" t="inlineStr">
        <is>
          <t>THOO HOUSE GRAPE PEARLS EDP 75ML</t>
        </is>
      </c>
      <c r="C1724" s="48" t="n">
        <v>75</v>
      </c>
      <c r="D1724" s="49" t="inlineStr">
        <is>
          <t>Nicho</t>
        </is>
      </c>
      <c r="E1724" s="50" t="n">
        <v>195</v>
      </c>
      <c r="F1724" s="51">
        <f>E1724*$B$5*(1+$B$6)</f>
        <v>253500</v>
      </c>
      <c r="G1724" s="51">
        <f>F1724*$B$7</f>
        <v>633750</v>
      </c>
      <c r="H1724" s="51">
        <f>G1724-F1724</f>
        <v>380250</v>
      </c>
      <c r="I1724" s="52">
        <f>H1724/G1724</f>
        <v>0.6</v>
      </c>
      <c r="J1724" s="53" t="n"/>
      <c r="K1724" s="54" t="n"/>
    </row>
    <row r="1725">
      <c r="A1725" s="39" t="inlineStr">
        <is>
          <t>The House of Oud</t>
        </is>
      </c>
      <c r="B1725" s="47" t="inlineStr">
        <is>
          <t>THOO HOUSE HIDDEN SHADES EDP 75ML</t>
        </is>
      </c>
      <c r="C1725" s="48" t="n">
        <v>75</v>
      </c>
      <c r="D1725" s="49" t="inlineStr">
        <is>
          <t>Nicho</t>
        </is>
      </c>
      <c r="E1725" s="50" t="n">
        <v>237</v>
      </c>
      <c r="F1725" s="51">
        <f>E1725*$B$5*(1+$B$6)</f>
        <v>308100</v>
      </c>
      <c r="G1725" s="51">
        <f>F1725*$B$7</f>
        <v>770250</v>
      </c>
      <c r="H1725" s="51">
        <f>G1725-F1725</f>
        <v>462150</v>
      </c>
      <c r="I1725" s="52">
        <f>H1725/G1725</f>
        <v>0.6</v>
      </c>
      <c r="J1725" s="53" t="n"/>
      <c r="K1725" s="54" t="n"/>
    </row>
    <row r="1726">
      <c r="A1726" s="39" t="inlineStr">
        <is>
          <t>The House of Oud</t>
        </is>
      </c>
      <c r="B1726" s="47" t="inlineStr">
        <is>
          <t>THOO HOUSE SACRED GROOVE EDP 75ML</t>
        </is>
      </c>
      <c r="C1726" s="48" t="n">
        <v>75</v>
      </c>
      <c r="D1726" s="49" t="inlineStr">
        <is>
          <t>Nicho</t>
        </is>
      </c>
      <c r="E1726" s="50" t="n">
        <v>237</v>
      </c>
      <c r="F1726" s="51">
        <f>E1726*$B$5*(1+$B$6)</f>
        <v>308100</v>
      </c>
      <c r="G1726" s="51">
        <f>F1726*$B$7</f>
        <v>770250</v>
      </c>
      <c r="H1726" s="51">
        <f>G1726-F1726</f>
        <v>462150</v>
      </c>
      <c r="I1726" s="52">
        <f>H1726/G1726</f>
        <v>0.6</v>
      </c>
      <c r="J1726" s="53" t="n"/>
      <c r="K1726" s="54" t="n"/>
    </row>
    <row r="1727">
      <c r="A1727" s="39" t="inlineStr">
        <is>
          <t>The House of Oud</t>
        </is>
      </c>
      <c r="B1727" s="47" t="inlineStr">
        <is>
          <t>THOO HOUSE WONDERLY EDP 75ML</t>
        </is>
      </c>
      <c r="C1727" s="48" t="n">
        <v>75</v>
      </c>
      <c r="D1727" s="49" t="inlineStr">
        <is>
          <t>Nicho</t>
        </is>
      </c>
      <c r="E1727" s="50" t="n">
        <v>195</v>
      </c>
      <c r="F1727" s="51">
        <f>E1727*$B$5*(1+$B$6)</f>
        <v>253500</v>
      </c>
      <c r="G1727" s="51">
        <f>F1727*$B$7</f>
        <v>633750</v>
      </c>
      <c r="H1727" s="51">
        <f>G1727-F1727</f>
        <v>380250</v>
      </c>
      <c r="I1727" s="52">
        <f>H1727/G1727</f>
        <v>0.6</v>
      </c>
      <c r="J1727" s="53" t="n"/>
      <c r="K1727" s="54" t="n"/>
    </row>
    <row r="1728">
      <c r="A1728" s="39" t="inlineStr">
        <is>
          <t>Thierry Mugler</t>
        </is>
      </c>
      <c r="B1728" s="47" t="inlineStr">
        <is>
          <t>MUGLER PERFUMING BODY CREAM ALIEN 200ML</t>
        </is>
      </c>
      <c r="C1728" s="48" t="n">
        <v>200</v>
      </c>
      <c r="D1728" s="49" t="inlineStr">
        <is>
          <t>Diseñador</t>
        </is>
      </c>
      <c r="E1728" s="50" t="n">
        <v>66.75</v>
      </c>
      <c r="F1728" s="51">
        <f>E1728*$B$5*(1+$B$6)</f>
        <v>86775</v>
      </c>
      <c r="G1728" s="51">
        <f>F1728*$B$7</f>
        <v>216937.5</v>
      </c>
      <c r="H1728" s="51">
        <f>G1728-F1728</f>
        <v>130162.5</v>
      </c>
      <c r="I1728" s="52">
        <f>H1728/G1728</f>
        <v>0.6</v>
      </c>
      <c r="J1728" s="53" t="n"/>
      <c r="K1728" s="54" t="n"/>
    </row>
    <row r="1729">
      <c r="A1729" s="39" t="inlineStr">
        <is>
          <t>Thierry Mugler</t>
        </is>
      </c>
      <c r="B1729" s="47" t="inlineStr">
        <is>
          <t>MUGLER PERFUMING BODY CREAM ANGEL 200ML</t>
        </is>
      </c>
      <c r="C1729" s="48" t="n">
        <v>200</v>
      </c>
      <c r="D1729" s="49" t="inlineStr">
        <is>
          <t>Diseñador</t>
        </is>
      </c>
      <c r="E1729" s="50" t="n">
        <v>110</v>
      </c>
      <c r="F1729" s="51">
        <f>E1729*$B$5*(1+$B$6)</f>
        <v>143000</v>
      </c>
      <c r="G1729" s="51">
        <f>F1729*$B$7</f>
        <v>357500</v>
      </c>
      <c r="H1729" s="51">
        <f>G1729-F1729</f>
        <v>214500</v>
      </c>
      <c r="I1729" s="52">
        <f>H1729/G1729</f>
        <v>0.6</v>
      </c>
      <c r="J1729" s="53" t="n"/>
      <c r="K1729" s="54" t="n"/>
    </row>
    <row r="1730">
      <c r="A1730" s="39" t="inlineStr">
        <is>
          <t>Thierry Mugler</t>
        </is>
      </c>
      <c r="B1730" s="47" t="inlineStr">
        <is>
          <t>MUGLER PERFUMING BODY LOTION ANGEL 200ML</t>
        </is>
      </c>
      <c r="C1730" s="48" t="n">
        <v>200</v>
      </c>
      <c r="D1730" s="49" t="inlineStr">
        <is>
          <t>Diseñador</t>
        </is>
      </c>
      <c r="E1730" s="50" t="n">
        <v>58</v>
      </c>
      <c r="F1730" s="51">
        <f>E1730*$B$5*(1+$B$6)</f>
        <v>75400</v>
      </c>
      <c r="G1730" s="51">
        <f>F1730*$B$7</f>
        <v>188500</v>
      </c>
      <c r="H1730" s="51">
        <f>G1730-F1730</f>
        <v>113100</v>
      </c>
      <c r="I1730" s="52">
        <f>H1730/G1730</f>
        <v>0.6</v>
      </c>
      <c r="J1730" s="53" t="n"/>
      <c r="K1730" s="54" t="n"/>
    </row>
    <row r="1731">
      <c r="A1731" s="39" t="inlineStr">
        <is>
          <t>Thierry Mugler</t>
        </is>
      </c>
      <c r="B1731" s="47" t="inlineStr">
        <is>
          <t>TESTER THIERRY MUGLER ANGEL STANDING STAR EDP 100ML FEM</t>
        </is>
      </c>
      <c r="C1731" s="48" t="n">
        <v>100</v>
      </c>
      <c r="D1731" s="49" t="inlineStr">
        <is>
          <t>Tester</t>
        </is>
      </c>
      <c r="E1731" s="50" t="n">
        <v>66</v>
      </c>
      <c r="F1731" s="51">
        <f>E1731*$B$5*(1+$B$6)</f>
        <v>85800</v>
      </c>
      <c r="G1731" s="51">
        <f>F1731*$B$7</f>
        <v>214500</v>
      </c>
      <c r="H1731" s="51">
        <f>G1731-F1731</f>
        <v>128700</v>
      </c>
      <c r="I1731" s="52">
        <f>H1731/G1731</f>
        <v>0.6</v>
      </c>
      <c r="J1731" s="53" t="n"/>
      <c r="K1731" s="54" t="n"/>
    </row>
    <row r="1732">
      <c r="A1732" s="39" t="inlineStr">
        <is>
          <t>Thierry Mugler</t>
        </is>
      </c>
      <c r="B1732" s="47" t="inlineStr">
        <is>
          <t>THIERRY MUGLER A*MEN EDT 100ML MASCULINO</t>
        </is>
      </c>
      <c r="C1732" s="48" t="n">
        <v>100</v>
      </c>
      <c r="D1732" s="49" t="inlineStr">
        <is>
          <t>Diseñador</t>
        </is>
      </c>
      <c r="E1732" s="50" t="n">
        <v>55</v>
      </c>
      <c r="F1732" s="51">
        <f>E1732*$B$5*(1+$B$6)</f>
        <v>71500</v>
      </c>
      <c r="G1732" s="51">
        <f>F1732*$B$7</f>
        <v>178750</v>
      </c>
      <c r="H1732" s="51">
        <f>G1732-F1732</f>
        <v>107250</v>
      </c>
      <c r="I1732" s="52">
        <f>H1732/G1732</f>
        <v>0.6</v>
      </c>
      <c r="J1732" s="53" t="n"/>
      <c r="K1732" s="54" t="n"/>
    </row>
    <row r="1733">
      <c r="A1733" s="39" t="inlineStr">
        <is>
          <t>Thierry Mugler</t>
        </is>
      </c>
      <c r="B1733" s="47" t="inlineStr">
        <is>
          <t>THIERRY MUGLER ALIEN EDP 30ML</t>
        </is>
      </c>
      <c r="C1733" s="48" t="n">
        <v>30</v>
      </c>
      <c r="D1733" s="49" t="inlineStr">
        <is>
          <t>Diseñador</t>
        </is>
      </c>
      <c r="E1733" s="50" t="n">
        <v>55</v>
      </c>
      <c r="F1733" s="51">
        <f>E1733*$B$5*(1+$B$6)</f>
        <v>71500</v>
      </c>
      <c r="G1733" s="51">
        <f>F1733*$B$7</f>
        <v>178750</v>
      </c>
      <c r="H1733" s="51">
        <f>G1733-F1733</f>
        <v>107250</v>
      </c>
      <c r="I1733" s="52">
        <f>H1733/G1733</f>
        <v>0.6</v>
      </c>
      <c r="J1733" s="53" t="n"/>
      <c r="K1733" s="54" t="n"/>
    </row>
    <row r="1734">
      <c r="A1734" s="39" t="inlineStr">
        <is>
          <t>Thierry Mugler</t>
        </is>
      </c>
      <c r="B1734" s="47" t="inlineStr">
        <is>
          <t>THIERRY MUGLER ALIEN EDP 60ML</t>
        </is>
      </c>
      <c r="C1734" s="48" t="n">
        <v>60</v>
      </c>
      <c r="D1734" s="49" t="inlineStr">
        <is>
          <t>Diseñador</t>
        </is>
      </c>
      <c r="E1734" s="50" t="n">
        <v>60</v>
      </c>
      <c r="F1734" s="51">
        <f>E1734*$B$5*(1+$B$6)</f>
        <v>78000</v>
      </c>
      <c r="G1734" s="51">
        <f>F1734*$B$7</f>
        <v>195000</v>
      </c>
      <c r="H1734" s="51">
        <f>G1734-F1734</f>
        <v>117000</v>
      </c>
      <c r="I1734" s="52">
        <f>H1734/G1734</f>
        <v>0.6</v>
      </c>
      <c r="J1734" s="53" t="n"/>
      <c r="K1734" s="54" t="n"/>
    </row>
    <row r="1735">
      <c r="A1735" s="39" t="inlineStr">
        <is>
          <t>Thierry Mugler</t>
        </is>
      </c>
      <c r="B1735" s="47" t="inlineStr">
        <is>
          <t>THIERRY MUGLER ALIEN GODDESS EDP 90ML FEM</t>
        </is>
      </c>
      <c r="C1735" s="48" t="n">
        <v>90</v>
      </c>
      <c r="D1735" s="49" t="inlineStr">
        <is>
          <t>Diseñador</t>
        </is>
      </c>
      <c r="E1735" s="50" t="n">
        <v>90</v>
      </c>
      <c r="F1735" s="51">
        <f>E1735*$B$5*(1+$B$6)</f>
        <v>117000</v>
      </c>
      <c r="G1735" s="51">
        <f>F1735*$B$7</f>
        <v>292500</v>
      </c>
      <c r="H1735" s="51">
        <f>G1735-F1735</f>
        <v>175500</v>
      </c>
      <c r="I1735" s="52">
        <f>H1735/G1735</f>
        <v>0.6</v>
      </c>
      <c r="J1735" s="53" t="n"/>
      <c r="K1735" s="54" t="n"/>
    </row>
    <row r="1736">
      <c r="A1736" s="39" t="inlineStr">
        <is>
          <t>Thierry Mugler</t>
        </is>
      </c>
      <c r="B1736" s="47" t="inlineStr">
        <is>
          <t>THIERRY MUGLER ALIEN GODDESS INTENSE EDP 60ML FEM</t>
        </is>
      </c>
      <c r="C1736" s="48" t="n">
        <v>60</v>
      </c>
      <c r="D1736" s="49" t="inlineStr">
        <is>
          <t>Diseñador</t>
        </is>
      </c>
      <c r="E1736" s="50" t="n">
        <v>78</v>
      </c>
      <c r="F1736" s="51">
        <f>E1736*$B$5*(1+$B$6)</f>
        <v>101400</v>
      </c>
      <c r="G1736" s="51">
        <f>F1736*$B$7</f>
        <v>253500</v>
      </c>
      <c r="H1736" s="51">
        <f>G1736-F1736</f>
        <v>152100</v>
      </c>
      <c r="I1736" s="52">
        <f>H1736/G1736</f>
        <v>0.6</v>
      </c>
      <c r="J1736" s="53" t="n"/>
      <c r="K1736" s="54" t="n"/>
    </row>
    <row r="1737">
      <c r="A1737" s="39" t="inlineStr">
        <is>
          <t>Thierry Mugler</t>
        </is>
      </c>
      <c r="B1737" s="47" t="inlineStr">
        <is>
          <t>THIERRY MUGLER ALIEN HYPERSENSE EDP 90ML</t>
        </is>
      </c>
      <c r="C1737" s="48" t="n">
        <v>90</v>
      </c>
      <c r="D1737" s="49" t="inlineStr">
        <is>
          <t>Diseñador</t>
        </is>
      </c>
      <c r="E1737" s="50" t="n">
        <v>110</v>
      </c>
      <c r="F1737" s="51">
        <f>E1737*$B$5*(1+$B$6)</f>
        <v>143000</v>
      </c>
      <c r="G1737" s="51">
        <f>F1737*$B$7</f>
        <v>357500</v>
      </c>
      <c r="H1737" s="51">
        <f>G1737-F1737</f>
        <v>214500</v>
      </c>
      <c r="I1737" s="52">
        <f>H1737/G1737</f>
        <v>0.6</v>
      </c>
      <c r="J1737" s="53" t="n"/>
      <c r="K1737" s="54" t="n"/>
    </row>
    <row r="1738">
      <c r="A1738" s="39" t="inlineStr">
        <is>
          <t>Thierry Mugler</t>
        </is>
      </c>
      <c r="B1738" s="47" t="inlineStr">
        <is>
          <t>THIERRY MUGLER ALIEN MIRAGE EDT 60ML</t>
        </is>
      </c>
      <c r="C1738" s="48" t="n">
        <v>60</v>
      </c>
      <c r="D1738" s="49" t="inlineStr">
        <is>
          <t>Diseñador</t>
        </is>
      </c>
      <c r="E1738" s="50" t="n">
        <v>65</v>
      </c>
      <c r="F1738" s="51">
        <f>E1738*$B$5*(1+$B$6)</f>
        <v>84500</v>
      </c>
      <c r="G1738" s="51">
        <f>F1738*$B$7</f>
        <v>211250</v>
      </c>
      <c r="H1738" s="51">
        <f>G1738-F1738</f>
        <v>126750</v>
      </c>
      <c r="I1738" s="52">
        <f>H1738/G1738</f>
        <v>0.6</v>
      </c>
      <c r="J1738" s="53" t="n"/>
      <c r="K1738" s="54" t="n"/>
    </row>
    <row r="1739">
      <c r="A1739" s="39" t="inlineStr">
        <is>
          <t>Thierry Mugler</t>
        </is>
      </c>
      <c r="B1739" s="47" t="inlineStr">
        <is>
          <t>THIERRY MUGLER ANGEL EDP 25ML</t>
        </is>
      </c>
      <c r="C1739" s="48" t="n">
        <v>25</v>
      </c>
      <c r="D1739" s="49" t="inlineStr">
        <is>
          <t>Diseñador</t>
        </is>
      </c>
      <c r="E1739" s="50" t="n">
        <v>54</v>
      </c>
      <c r="F1739" s="51">
        <f>E1739*$B$5*(1+$B$6)</f>
        <v>70200</v>
      </c>
      <c r="G1739" s="51">
        <f>F1739*$B$7</f>
        <v>175500</v>
      </c>
      <c r="H1739" s="51">
        <f>G1739-F1739</f>
        <v>105300</v>
      </c>
      <c r="I1739" s="52">
        <f>H1739/G1739</f>
        <v>0.6</v>
      </c>
      <c r="J1739" s="53" t="n"/>
      <c r="K1739" s="54" t="n"/>
    </row>
    <row r="1740">
      <c r="A1740" s="39" t="inlineStr">
        <is>
          <t>Thierry Mugler</t>
        </is>
      </c>
      <c r="B1740" s="47" t="inlineStr">
        <is>
          <t>THIERRY MUGLER ANGEL EDP 50ML</t>
        </is>
      </c>
      <c r="C1740" s="48" t="n">
        <v>50</v>
      </c>
      <c r="D1740" s="49" t="inlineStr">
        <is>
          <t>Diseñador</t>
        </is>
      </c>
      <c r="E1740" s="50" t="n">
        <v>66</v>
      </c>
      <c r="F1740" s="51">
        <f>E1740*$B$5*(1+$B$6)</f>
        <v>85800</v>
      </c>
      <c r="G1740" s="51">
        <f>F1740*$B$7</f>
        <v>214500</v>
      </c>
      <c r="H1740" s="51">
        <f>G1740-F1740</f>
        <v>128700</v>
      </c>
      <c r="I1740" s="52">
        <f>H1740/G1740</f>
        <v>0.6</v>
      </c>
      <c r="J1740" s="53" t="n"/>
      <c r="K1740" s="54" t="n"/>
    </row>
    <row r="1741">
      <c r="A1741" s="39" t="inlineStr">
        <is>
          <t>Thierry Mugler</t>
        </is>
      </c>
      <c r="B1741" s="47" t="inlineStr">
        <is>
          <t>THIERRY MUGLER ANGEL EDT 100ML FEM</t>
        </is>
      </c>
      <c r="C1741" s="48" t="n">
        <v>100</v>
      </c>
      <c r="D1741" s="49" t="inlineStr">
        <is>
          <t>Diseñador</t>
        </is>
      </c>
      <c r="E1741" s="50" t="n">
        <v>58</v>
      </c>
      <c r="F1741" s="51">
        <f>E1741*$B$5*(1+$B$6)</f>
        <v>75400</v>
      </c>
      <c r="G1741" s="51">
        <f>F1741*$B$7</f>
        <v>188500</v>
      </c>
      <c r="H1741" s="51">
        <f>G1741-F1741</f>
        <v>113100</v>
      </c>
      <c r="I1741" s="52">
        <f>H1741/G1741</f>
        <v>0.6</v>
      </c>
      <c r="J1741" s="53" t="n"/>
      <c r="K1741" s="54" t="n"/>
    </row>
    <row r="1742">
      <c r="A1742" s="39" t="inlineStr">
        <is>
          <t>Thierry Mugler</t>
        </is>
      </c>
      <c r="B1742" s="47" t="inlineStr">
        <is>
          <t>THIERRY MUGLER ANGEL ELIXIR EDP 100ML FEM</t>
        </is>
      </c>
      <c r="C1742" s="48" t="n">
        <v>100</v>
      </c>
      <c r="D1742" s="49" t="inlineStr">
        <is>
          <t>Diseñador</t>
        </is>
      </c>
      <c r="E1742" s="50" t="n">
        <v>87</v>
      </c>
      <c r="F1742" s="51">
        <f>E1742*$B$5*(1+$B$6)</f>
        <v>113100</v>
      </c>
      <c r="G1742" s="51">
        <f>F1742*$B$7</f>
        <v>282750</v>
      </c>
      <c r="H1742" s="51">
        <f>G1742-F1742</f>
        <v>169650</v>
      </c>
      <c r="I1742" s="52">
        <f>H1742/G1742</f>
        <v>0.6</v>
      </c>
      <c r="J1742" s="53" t="n"/>
      <c r="K1742" s="54" t="n"/>
    </row>
    <row r="1743">
      <c r="A1743" s="39" t="inlineStr">
        <is>
          <t>Thierry Mugler</t>
        </is>
      </c>
      <c r="B1743" s="47" t="inlineStr">
        <is>
          <t>THIERRY MUGLER ANGEL FANTASM EDP SENSUELLE 100ML FEM</t>
        </is>
      </c>
      <c r="C1743" s="48" t="n">
        <v>100</v>
      </c>
      <c r="D1743" s="49" t="inlineStr">
        <is>
          <t>Diseñador</t>
        </is>
      </c>
      <c r="E1743" s="50" t="n">
        <v>87</v>
      </c>
      <c r="F1743" s="51">
        <f>E1743*$B$5*(1+$B$6)</f>
        <v>113100</v>
      </c>
      <c r="G1743" s="51">
        <f>F1743*$B$7</f>
        <v>282750</v>
      </c>
      <c r="H1743" s="51">
        <f>G1743-F1743</f>
        <v>169650</v>
      </c>
      <c r="I1743" s="52">
        <f>H1743/G1743</f>
        <v>0.6</v>
      </c>
      <c r="J1743" s="53" t="n"/>
      <c r="K1743" s="54" t="n"/>
    </row>
    <row r="1744">
      <c r="A1744" s="39" t="inlineStr">
        <is>
          <t>Thierry Mugler</t>
        </is>
      </c>
      <c r="B1744" s="47" t="inlineStr">
        <is>
          <t>THIERRY MUGLER ANGEL NOVA FRUITEE EDP 100ML FEM</t>
        </is>
      </c>
      <c r="C1744" s="48" t="n">
        <v>100</v>
      </c>
      <c r="D1744" s="49" t="inlineStr">
        <is>
          <t>Diseñador</t>
        </is>
      </c>
      <c r="E1744" s="50" t="n">
        <v>84</v>
      </c>
      <c r="F1744" s="51">
        <f>E1744*$B$5*(1+$B$6)</f>
        <v>109200</v>
      </c>
      <c r="G1744" s="51">
        <f>F1744*$B$7</f>
        <v>273000</v>
      </c>
      <c r="H1744" s="51">
        <f>G1744-F1744</f>
        <v>163800</v>
      </c>
      <c r="I1744" s="52">
        <f>H1744/G1744</f>
        <v>0.6</v>
      </c>
      <c r="J1744" s="53" t="n"/>
      <c r="K1744" s="54" t="n"/>
    </row>
    <row r="1745">
      <c r="A1745" s="39" t="inlineStr">
        <is>
          <t>Thierry Mugler</t>
        </is>
      </c>
      <c r="B1745" s="47" t="inlineStr">
        <is>
          <t>THIERRY MUGLER ANGEL STANDING STAR EDP 100ML FEM</t>
        </is>
      </c>
      <c r="C1745" s="48" t="n">
        <v>100</v>
      </c>
      <c r="D1745" s="49" t="inlineStr">
        <is>
          <t>Diseñador</t>
        </is>
      </c>
      <c r="E1745" s="50" t="n">
        <v>77.5</v>
      </c>
      <c r="F1745" s="51">
        <f>E1745*$B$5*(1+$B$6)</f>
        <v>100750</v>
      </c>
      <c r="G1745" s="51">
        <f>F1745*$B$7</f>
        <v>251875</v>
      </c>
      <c r="H1745" s="51">
        <f>G1745-F1745</f>
        <v>151125</v>
      </c>
      <c r="I1745" s="52">
        <f>H1745/G1745</f>
        <v>0.6</v>
      </c>
      <c r="J1745" s="53" t="n"/>
      <c r="K1745" s="54" t="n"/>
    </row>
    <row r="1746">
      <c r="A1746" s="39" t="inlineStr">
        <is>
          <t>Thierry Mugler</t>
        </is>
      </c>
      <c r="B1746" s="47" t="inlineStr">
        <is>
          <t>THIERRY MUGLER ANGEL STELLAR EDP 100ML FEM</t>
        </is>
      </c>
      <c r="C1746" s="48" t="n">
        <v>100</v>
      </c>
      <c r="D1746" s="49" t="inlineStr">
        <is>
          <t>Diseñador</t>
        </is>
      </c>
      <c r="E1746" s="50" t="n">
        <v>120</v>
      </c>
      <c r="F1746" s="51">
        <f>E1746*$B$5*(1+$B$6)</f>
        <v>156000</v>
      </c>
      <c r="G1746" s="51">
        <f>F1746*$B$7</f>
        <v>390000</v>
      </c>
      <c r="H1746" s="51">
        <f>G1746-F1746</f>
        <v>234000</v>
      </c>
      <c r="I1746" s="52">
        <f>H1746/G1746</f>
        <v>0.6</v>
      </c>
      <c r="J1746" s="53" t="n"/>
      <c r="K1746" s="54" t="n"/>
    </row>
    <row r="1747">
      <c r="A1747" s="39" t="inlineStr">
        <is>
          <t>Thierry Mugler</t>
        </is>
      </c>
      <c r="B1747" s="47" t="inlineStr">
        <is>
          <t>THIERRY MUGLER KIT ALIEN GODDESS EDP 60ML + 50ML B/L + EDP 10ML</t>
        </is>
      </c>
      <c r="C1747" s="48" t="n">
        <v>60</v>
      </c>
      <c r="D1747" s="49" t="inlineStr">
        <is>
          <t>Diseñador</t>
        </is>
      </c>
      <c r="E1747" s="50" t="n">
        <v>78</v>
      </c>
      <c r="F1747" s="51">
        <f>E1747*$B$5*(1+$B$6)</f>
        <v>101400</v>
      </c>
      <c r="G1747" s="51">
        <f>F1747*$B$7</f>
        <v>253500</v>
      </c>
      <c r="H1747" s="51">
        <f>G1747-F1747</f>
        <v>152100</v>
      </c>
      <c r="I1747" s="52">
        <f>H1747/G1747</f>
        <v>0.6</v>
      </c>
      <c r="J1747" s="53" t="n"/>
      <c r="K1747" s="54" t="n"/>
    </row>
    <row r="1748">
      <c r="A1748" s="39" t="inlineStr">
        <is>
          <t>Thierry Mugler</t>
        </is>
      </c>
      <c r="B1748" s="47" t="inlineStr">
        <is>
          <t>THIERRY MUGLER SECRET (ROSA) EDT 50ML</t>
        </is>
      </c>
      <c r="C1748" s="48" t="n">
        <v>50</v>
      </c>
      <c r="D1748" s="49" t="inlineStr">
        <is>
          <t>Diseñador</t>
        </is>
      </c>
      <c r="E1748" s="50" t="n">
        <v>23.5</v>
      </c>
      <c r="F1748" s="51">
        <f>E1748*$B$5*(1+$B$6)</f>
        <v>30550</v>
      </c>
      <c r="G1748" s="51">
        <f>F1748*$B$7</f>
        <v>76375</v>
      </c>
      <c r="H1748" s="51">
        <f>G1748-F1748</f>
        <v>45825</v>
      </c>
      <c r="I1748" s="52">
        <f>H1748/G1748</f>
        <v>0.6</v>
      </c>
      <c r="J1748" s="53" t="n"/>
      <c r="K1748" s="54" t="n"/>
    </row>
    <row r="1749">
      <c r="A1749" s="39" t="inlineStr">
        <is>
          <t>Thomas Kosmala</t>
        </is>
      </c>
      <c r="B1749" s="47" t="inlineStr">
        <is>
          <t>THOMAS KOSMALA A NEVER ENDING LOVE EDP 100ML UNISEX</t>
        </is>
      </c>
      <c r="C1749" s="48" t="n">
        <v>100</v>
      </c>
      <c r="D1749" s="49" t="inlineStr">
        <is>
          <t>Nicho</t>
        </is>
      </c>
      <c r="E1749" s="50" t="n">
        <v>90</v>
      </c>
      <c r="F1749" s="51">
        <f>E1749*$B$5*(1+$B$6)</f>
        <v>117000</v>
      </c>
      <c r="G1749" s="51">
        <f>F1749*$B$7</f>
        <v>292500</v>
      </c>
      <c r="H1749" s="51">
        <f>G1749-F1749</f>
        <v>175500</v>
      </c>
      <c r="I1749" s="52">
        <f>H1749/G1749</f>
        <v>0.6</v>
      </c>
      <c r="J1749" s="53" t="n"/>
      <c r="K1749" s="54" t="n"/>
    </row>
    <row r="1750">
      <c r="A1750" s="39" t="inlineStr">
        <is>
          <t>Thomas Kosmala</t>
        </is>
      </c>
      <c r="B1750" s="47" t="inlineStr">
        <is>
          <t>THOMAS KOSMALA DESIR DU COEUR NO.10 EDP 100ML</t>
        </is>
      </c>
      <c r="C1750" s="48" t="n">
        <v>100</v>
      </c>
      <c r="D1750" s="49" t="inlineStr">
        <is>
          <t>Nicho</t>
        </is>
      </c>
      <c r="E1750" s="50" t="n">
        <v>90</v>
      </c>
      <c r="F1750" s="51">
        <f>E1750*$B$5*(1+$B$6)</f>
        <v>117000</v>
      </c>
      <c r="G1750" s="51">
        <f>F1750*$B$7</f>
        <v>292500</v>
      </c>
      <c r="H1750" s="51">
        <f>G1750-F1750</f>
        <v>175500</v>
      </c>
      <c r="I1750" s="52">
        <f>H1750/G1750</f>
        <v>0.6</v>
      </c>
      <c r="J1750" s="53" t="n"/>
      <c r="K1750" s="54" t="n"/>
    </row>
    <row r="1751">
      <c r="A1751" s="39" t="inlineStr">
        <is>
          <t>Thomas Kosmala</t>
        </is>
      </c>
      <c r="B1751" s="47" t="inlineStr">
        <is>
          <t>THOMAS KOSMALA DESIR DU COEUR NO.10 ELIXIR 100ML UNISEX</t>
        </is>
      </c>
      <c r="C1751" s="48" t="n">
        <v>100</v>
      </c>
      <c r="D1751" s="49" t="inlineStr">
        <is>
          <t>Nicho</t>
        </is>
      </c>
      <c r="E1751" s="50" t="n">
        <v>90</v>
      </c>
      <c r="F1751" s="51">
        <f>E1751*$B$5*(1+$B$6)</f>
        <v>117000</v>
      </c>
      <c r="G1751" s="51">
        <f>F1751*$B$7</f>
        <v>292500</v>
      </c>
      <c r="H1751" s="51">
        <f>G1751-F1751</f>
        <v>175500</v>
      </c>
      <c r="I1751" s="52">
        <f>H1751/G1751</f>
        <v>0.6</v>
      </c>
      <c r="J1751" s="53" t="n"/>
      <c r="K1751" s="54" t="n"/>
    </row>
    <row r="1752">
      <c r="A1752" s="39" t="inlineStr">
        <is>
          <t>Thomas Kosmala</t>
        </is>
      </c>
      <c r="B1752" s="47" t="inlineStr">
        <is>
          <t>THOMAS KOSMALA EXSUPERO EDP 100ML UNISEX</t>
        </is>
      </c>
      <c r="C1752" s="48" t="n">
        <v>100</v>
      </c>
      <c r="D1752" s="49" t="inlineStr">
        <is>
          <t>Nicho</t>
        </is>
      </c>
      <c r="E1752" s="50" t="n">
        <v>90</v>
      </c>
      <c r="F1752" s="51">
        <f>E1752*$B$5*(1+$B$6)</f>
        <v>117000</v>
      </c>
      <c r="G1752" s="51">
        <f>F1752*$B$7</f>
        <v>292500</v>
      </c>
      <c r="H1752" s="51">
        <f>G1752-F1752</f>
        <v>175500</v>
      </c>
      <c r="I1752" s="52">
        <f>H1752/G1752</f>
        <v>0.6</v>
      </c>
      <c r="J1752" s="53" t="n"/>
      <c r="K1752" s="54" t="n"/>
    </row>
    <row r="1753">
      <c r="A1753" s="39" t="inlineStr">
        <is>
          <t>Thomas Kosmala</t>
        </is>
      </c>
      <c r="B1753" s="47" t="inlineStr">
        <is>
          <t>THOMAS KOSMALA KIT APRES L'AMOUR NO.4 EDP 30ML + HAIR MIST 30ML</t>
        </is>
      </c>
      <c r="C1753" s="48" t="n">
        <v>30</v>
      </c>
      <c r="D1753" s="49" t="inlineStr">
        <is>
          <t>Nicho</t>
        </is>
      </c>
      <c r="E1753" s="50" t="n">
        <v>65</v>
      </c>
      <c r="F1753" s="51">
        <f>E1753*$B$5*(1+$B$6)</f>
        <v>84500</v>
      </c>
      <c r="G1753" s="51">
        <f>F1753*$B$7</f>
        <v>211250</v>
      </c>
      <c r="H1753" s="51">
        <f>G1753-F1753</f>
        <v>126750</v>
      </c>
      <c r="I1753" s="52">
        <f>H1753/G1753</f>
        <v>0.6</v>
      </c>
      <c r="J1753" s="53" t="n"/>
      <c r="K1753" s="54" t="n"/>
    </row>
    <row r="1754">
      <c r="A1754" s="39" t="inlineStr">
        <is>
          <t>Thomas Kosmala</t>
        </is>
      </c>
      <c r="B1754" s="47" t="inlineStr">
        <is>
          <t>THOMAS KOSMALA LE SEL DE LA TERRE NO.7 EDP 100ML UNISEX</t>
        </is>
      </c>
      <c r="C1754" s="48" t="n">
        <v>100</v>
      </c>
      <c r="D1754" s="49" t="inlineStr">
        <is>
          <t>Nicho</t>
        </is>
      </c>
      <c r="E1754" s="50" t="n">
        <v>90</v>
      </c>
      <c r="F1754" s="51">
        <f>E1754*$B$5*(1+$B$6)</f>
        <v>117000</v>
      </c>
      <c r="G1754" s="51">
        <f>F1754*$B$7</f>
        <v>292500</v>
      </c>
      <c r="H1754" s="51">
        <f>G1754-F1754</f>
        <v>175500</v>
      </c>
      <c r="I1754" s="52">
        <f>H1754/G1754</f>
        <v>0.6</v>
      </c>
      <c r="J1754" s="53" t="n"/>
      <c r="K1754" s="54" t="n"/>
    </row>
    <row r="1755">
      <c r="A1755" s="39" t="inlineStr">
        <is>
          <t>Thomas Kosmala</t>
        </is>
      </c>
      <c r="B1755" s="47" t="inlineStr">
        <is>
          <t>THOMAS KOSMALA ORNATE MOON EDP 100ML UNISEX</t>
        </is>
      </c>
      <c r="C1755" s="48" t="n">
        <v>100</v>
      </c>
      <c r="D1755" s="49" t="inlineStr">
        <is>
          <t>Nicho</t>
        </is>
      </c>
      <c r="E1755" s="50" t="n">
        <v>90</v>
      </c>
      <c r="F1755" s="51">
        <f>E1755*$B$5*(1+$B$6)</f>
        <v>117000</v>
      </c>
      <c r="G1755" s="51">
        <f>F1755*$B$7</f>
        <v>292500</v>
      </c>
      <c r="H1755" s="51">
        <f>G1755-F1755</f>
        <v>175500</v>
      </c>
      <c r="I1755" s="52">
        <f>H1755/G1755</f>
        <v>0.6</v>
      </c>
      <c r="J1755" s="53" t="n"/>
      <c r="K1755" s="54" t="n"/>
    </row>
    <row r="1756">
      <c r="A1756" s="39" t="inlineStr">
        <is>
          <t>Thomas Kosmala</t>
        </is>
      </c>
      <c r="B1756" s="47" t="inlineStr">
        <is>
          <t>THOMAS KOSMALA SEVE NOUVELLE NO.02 EDP 100ML UNISEX</t>
        </is>
      </c>
      <c r="C1756" s="48" t="n">
        <v>100</v>
      </c>
      <c r="D1756" s="49" t="inlineStr">
        <is>
          <t>Nicho</t>
        </is>
      </c>
      <c r="E1756" s="50" t="n">
        <v>90</v>
      </c>
      <c r="F1756" s="51">
        <f>E1756*$B$5*(1+$B$6)</f>
        <v>117000</v>
      </c>
      <c r="G1756" s="51">
        <f>F1756*$B$7</f>
        <v>292500</v>
      </c>
      <c r="H1756" s="51">
        <f>G1756-F1756</f>
        <v>175500</v>
      </c>
      <c r="I1756" s="52">
        <f>H1756/G1756</f>
        <v>0.6</v>
      </c>
      <c r="J1756" s="53" t="n"/>
      <c r="K1756" s="54" t="n"/>
    </row>
    <row r="1757">
      <c r="A1757" s="39" t="inlineStr">
        <is>
          <t>Thomas Kosmala</t>
        </is>
      </c>
      <c r="B1757" s="47" t="inlineStr">
        <is>
          <t>THOMAS KOSMALA STAR CHASER EDP 100ML UNISEX</t>
        </is>
      </c>
      <c r="C1757" s="48" t="n">
        <v>100</v>
      </c>
      <c r="D1757" s="49" t="inlineStr">
        <is>
          <t>Nicho</t>
        </is>
      </c>
      <c r="E1757" s="50" t="n">
        <v>90</v>
      </c>
      <c r="F1757" s="51">
        <f>E1757*$B$5*(1+$B$6)</f>
        <v>117000</v>
      </c>
      <c r="G1757" s="51">
        <f>F1757*$B$7</f>
        <v>292500</v>
      </c>
      <c r="H1757" s="51">
        <f>G1757-F1757</f>
        <v>175500</v>
      </c>
      <c r="I1757" s="52">
        <f>H1757/G1757</f>
        <v>0.6</v>
      </c>
      <c r="J1757" s="53" t="n"/>
      <c r="K1757" s="54" t="n"/>
    </row>
    <row r="1758">
      <c r="A1758" s="39" t="inlineStr">
        <is>
          <t>Thomas Kosmala</t>
        </is>
      </c>
      <c r="B1758" s="47" t="inlineStr">
        <is>
          <t>THOMAS KOSMALA WILD STRIDE EDP 100ML</t>
        </is>
      </c>
      <c r="C1758" s="48" t="n">
        <v>100</v>
      </c>
      <c r="D1758" s="49" t="inlineStr">
        <is>
          <t>Nicho</t>
        </is>
      </c>
      <c r="E1758" s="50" t="n">
        <v>90</v>
      </c>
      <c r="F1758" s="51">
        <f>E1758*$B$5*(1+$B$6)</f>
        <v>117000</v>
      </c>
      <c r="G1758" s="51">
        <f>F1758*$B$7</f>
        <v>292500</v>
      </c>
      <c r="H1758" s="51">
        <f>G1758-F1758</f>
        <v>175500</v>
      </c>
      <c r="I1758" s="52">
        <f>H1758/G1758</f>
        <v>0.6</v>
      </c>
      <c r="J1758" s="53" t="n"/>
      <c r="K1758" s="54" t="n"/>
    </row>
    <row r="1759">
      <c r="A1759" s="39" t="inlineStr">
        <is>
          <t>Thoq Al Hawamer</t>
        </is>
      </c>
      <c r="B1759" s="47" t="inlineStr">
        <is>
          <t>THOQ AL HAWAMER ALMAJLES MIX (RED) EDP 50ML</t>
        </is>
      </c>
      <c r="C1759" s="48" t="n">
        <v>50</v>
      </c>
      <c r="D1759" s="49" t="inlineStr">
        <is>
          <t>Árabe</t>
        </is>
      </c>
      <c r="E1759" s="50" t="n">
        <v>8</v>
      </c>
      <c r="F1759" s="51">
        <f>E1759*$B$5*(1+$B$6)</f>
        <v>10400</v>
      </c>
      <c r="G1759" s="51">
        <f>F1759*$B$7</f>
        <v>26000</v>
      </c>
      <c r="H1759" s="51">
        <f>G1759-F1759</f>
        <v>15600</v>
      </c>
      <c r="I1759" s="52">
        <f>H1759/G1759</f>
        <v>0.6</v>
      </c>
      <c r="J1759" s="53" t="n"/>
      <c r="K1759" s="54" t="inlineStr">
        <is>
          <t>clon/genérico</t>
        </is>
      </c>
    </row>
    <row r="1760">
      <c r="A1760" s="39" t="inlineStr">
        <is>
          <t>Thoq Al Hawamer</t>
        </is>
      </c>
      <c r="B1760" s="47" t="inlineStr">
        <is>
          <t>THOQ AL HAWAMER ELDIWAN MIX (BLUE) EDP 50ML</t>
        </is>
      </c>
      <c r="C1760" s="48" t="n">
        <v>50</v>
      </c>
      <c r="D1760" s="49" t="inlineStr">
        <is>
          <t>Árabe</t>
        </is>
      </c>
      <c r="E1760" s="50" t="n">
        <v>8</v>
      </c>
      <c r="F1760" s="51">
        <f>E1760*$B$5*(1+$B$6)</f>
        <v>10400</v>
      </c>
      <c r="G1760" s="51">
        <f>F1760*$B$7</f>
        <v>26000</v>
      </c>
      <c r="H1760" s="51">
        <f>G1760-F1760</f>
        <v>15600</v>
      </c>
      <c r="I1760" s="52">
        <f>H1760/G1760</f>
        <v>0.6</v>
      </c>
      <c r="J1760" s="53" t="n"/>
      <c r="K1760" s="54" t="inlineStr">
        <is>
          <t>clon/genérico</t>
        </is>
      </c>
    </row>
    <row r="1761">
      <c r="A1761" s="39" t="inlineStr">
        <is>
          <t>Thoq Al Hawamer</t>
        </is>
      </c>
      <c r="B1761" s="47" t="inlineStr">
        <is>
          <t>THOQ AL HAWAMER ELSHEIKH MIX (WHITE) EDP 50ML</t>
        </is>
      </c>
      <c r="C1761" s="48" t="n">
        <v>50</v>
      </c>
      <c r="D1761" s="49" t="inlineStr">
        <is>
          <t>Árabe</t>
        </is>
      </c>
      <c r="E1761" s="50" t="n">
        <v>8</v>
      </c>
      <c r="F1761" s="51">
        <f>E1761*$B$5*(1+$B$6)</f>
        <v>10400</v>
      </c>
      <c r="G1761" s="51">
        <f>F1761*$B$7</f>
        <v>26000</v>
      </c>
      <c r="H1761" s="51">
        <f>G1761-F1761</f>
        <v>15600</v>
      </c>
      <c r="I1761" s="52">
        <f>H1761/G1761</f>
        <v>0.6</v>
      </c>
      <c r="J1761" s="53" t="n"/>
      <c r="K1761" s="54" t="inlineStr">
        <is>
          <t>clon/genérico</t>
        </is>
      </c>
    </row>
    <row r="1762">
      <c r="A1762" s="39" t="inlineStr">
        <is>
          <t>Tiffany &amp; Co</t>
        </is>
      </c>
      <c r="B1762" s="47" t="inlineStr">
        <is>
          <t>Love for Her EDP (fem)</t>
        </is>
      </c>
      <c r="C1762" s="48" t="n">
        <v>90</v>
      </c>
      <c r="D1762" s="49" t="inlineStr">
        <is>
          <t>Diseñador</t>
        </is>
      </c>
      <c r="E1762" s="50" t="n">
        <v>100</v>
      </c>
      <c r="F1762" s="51">
        <f>E1762*$B$5*(1+$B$6)</f>
        <v>130000</v>
      </c>
      <c r="G1762" s="51">
        <f>F1762*$B$7</f>
        <v>325000</v>
      </c>
      <c r="H1762" s="51">
        <f>G1762-F1762</f>
        <v>195000</v>
      </c>
      <c r="I1762" s="52">
        <f>H1762/G1762</f>
        <v>0.6</v>
      </c>
      <c r="J1762" s="53" t="n"/>
      <c r="K1762" s="54" t="n"/>
    </row>
    <row r="1763">
      <c r="A1763" s="39" t="inlineStr">
        <is>
          <t>Tiziana Terenzi</t>
        </is>
      </c>
      <c r="B1763" s="47" t="inlineStr">
        <is>
          <t>TIZIANA TERENZI ARRAKIS EXTRAIT DE PARFUM 100ML</t>
        </is>
      </c>
      <c r="C1763" s="48" t="n">
        <v>100</v>
      </c>
      <c r="D1763" s="49" t="inlineStr">
        <is>
          <t>Nicho</t>
        </is>
      </c>
      <c r="E1763" s="50" t="n">
        <v>230</v>
      </c>
      <c r="F1763" s="51">
        <f>E1763*$B$5*(1+$B$6)</f>
        <v>299000</v>
      </c>
      <c r="G1763" s="51">
        <f>F1763*$B$7</f>
        <v>747500</v>
      </c>
      <c r="H1763" s="51">
        <f>G1763-F1763</f>
        <v>448500</v>
      </c>
      <c r="I1763" s="52">
        <f>H1763/G1763</f>
        <v>0.6</v>
      </c>
      <c r="J1763" s="53" t="n"/>
      <c r="K1763" s="54" t="n"/>
    </row>
    <row r="1764">
      <c r="A1764" s="39" t="inlineStr">
        <is>
          <t>Tiziana Terenzi</t>
        </is>
      </c>
      <c r="B1764" s="47" t="inlineStr">
        <is>
          <t>TIZIANA TERENZI CASANOVA EXTRAIT DE PARFUM 100ML</t>
        </is>
      </c>
      <c r="C1764" s="48" t="n">
        <v>100</v>
      </c>
      <c r="D1764" s="49" t="inlineStr">
        <is>
          <t>Nicho</t>
        </is>
      </c>
      <c r="E1764" s="50" t="n">
        <v>200</v>
      </c>
      <c r="F1764" s="51">
        <f>E1764*$B$5*(1+$B$6)</f>
        <v>260000</v>
      </c>
      <c r="G1764" s="51">
        <f>F1764*$B$7</f>
        <v>650000</v>
      </c>
      <c r="H1764" s="51">
        <f>G1764-F1764</f>
        <v>390000</v>
      </c>
      <c r="I1764" s="52">
        <f>H1764/G1764</f>
        <v>0.6</v>
      </c>
      <c r="J1764" s="53" t="n"/>
      <c r="K1764" s="54" t="n"/>
    </row>
    <row r="1765">
      <c r="A1765" s="39" t="inlineStr">
        <is>
          <t>Tiziana Terenzi</t>
        </is>
      </c>
      <c r="B1765" s="47" t="inlineStr">
        <is>
          <t>TIZIANA TERENZI GUMIN EXTRAIT DE PARFUM 100ML UNISEX</t>
        </is>
      </c>
      <c r="C1765" s="48" t="n">
        <v>100</v>
      </c>
      <c r="D1765" s="49" t="inlineStr">
        <is>
          <t>Nicho</t>
        </is>
      </c>
      <c r="E1765" s="50" t="n">
        <v>270</v>
      </c>
      <c r="F1765" s="51">
        <f>E1765*$B$5*(1+$B$6)</f>
        <v>351000</v>
      </c>
      <c r="G1765" s="51">
        <f>F1765*$B$7</f>
        <v>877500</v>
      </c>
      <c r="H1765" s="51">
        <f>G1765-F1765</f>
        <v>526500</v>
      </c>
      <c r="I1765" s="52">
        <f>H1765/G1765</f>
        <v>0.6</v>
      </c>
      <c r="J1765" s="53" t="n"/>
      <c r="K1765" s="54" t="n"/>
    </row>
    <row r="1766">
      <c r="A1766" s="39" t="inlineStr">
        <is>
          <t>Tiziana Terenzi</t>
        </is>
      </c>
      <c r="B1766" s="47" t="inlineStr">
        <is>
          <t>TIZIANA TERENZI II PIACERE EXTRAIT DE PARFUM 100ML</t>
        </is>
      </c>
      <c r="C1766" s="48" t="n">
        <v>100</v>
      </c>
      <c r="D1766" s="49" t="inlineStr">
        <is>
          <t>Nicho</t>
        </is>
      </c>
      <c r="E1766" s="50" t="n">
        <v>225</v>
      </c>
      <c r="F1766" s="51">
        <f>E1766*$B$5*(1+$B$6)</f>
        <v>292500</v>
      </c>
      <c r="G1766" s="51">
        <f>F1766*$B$7</f>
        <v>731250</v>
      </c>
      <c r="H1766" s="51">
        <f>G1766-F1766</f>
        <v>438750</v>
      </c>
      <c r="I1766" s="52">
        <f>H1766/G1766</f>
        <v>0.6</v>
      </c>
      <c r="J1766" s="53" t="n"/>
      <c r="K1766" s="54" t="n"/>
    </row>
    <row r="1767">
      <c r="A1767" s="39" t="inlineStr">
        <is>
          <t>Tiziana Terenzi</t>
        </is>
      </c>
      <c r="B1767" s="47" t="inlineStr">
        <is>
          <t>TIZIANA TERENZI KAFF EXTRAIT DE PARFUM 100ML</t>
        </is>
      </c>
      <c r="C1767" s="48" t="n">
        <v>100</v>
      </c>
      <c r="D1767" s="49" t="inlineStr">
        <is>
          <t>Nicho</t>
        </is>
      </c>
      <c r="E1767" s="50" t="n">
        <v>230</v>
      </c>
      <c r="F1767" s="51">
        <f>E1767*$B$5*(1+$B$6)</f>
        <v>299000</v>
      </c>
      <c r="G1767" s="51">
        <f>F1767*$B$7</f>
        <v>747500</v>
      </c>
      <c r="H1767" s="51">
        <f>G1767-F1767</f>
        <v>448500</v>
      </c>
      <c r="I1767" s="52">
        <f>H1767/G1767</f>
        <v>0.6</v>
      </c>
      <c r="J1767" s="53" t="n"/>
      <c r="K1767" s="54" t="n"/>
    </row>
    <row r="1768">
      <c r="A1768" s="39" t="inlineStr">
        <is>
          <t>Tiziana Terenzi</t>
        </is>
      </c>
      <c r="B1768" s="47" t="inlineStr">
        <is>
          <t>TIZIANA TERENZI KIRKE EXTRAIT DE PARFUM 100ML</t>
        </is>
      </c>
      <c r="C1768" s="48" t="n">
        <v>100</v>
      </c>
      <c r="D1768" s="49" t="inlineStr">
        <is>
          <t>Nicho</t>
        </is>
      </c>
      <c r="E1768" s="50" t="n">
        <v>167</v>
      </c>
      <c r="F1768" s="51">
        <f>E1768*$B$5*(1+$B$6)</f>
        <v>217100</v>
      </c>
      <c r="G1768" s="51">
        <f>F1768*$B$7</f>
        <v>542750</v>
      </c>
      <c r="H1768" s="51">
        <f>G1768-F1768</f>
        <v>325650</v>
      </c>
      <c r="I1768" s="52">
        <f>H1768/G1768</f>
        <v>0.6</v>
      </c>
      <c r="J1768" s="53" t="n"/>
      <c r="K1768" s="54" t="n"/>
    </row>
    <row r="1769">
      <c r="A1769" s="39" t="inlineStr">
        <is>
          <t>Tiziana Terenzi</t>
        </is>
      </c>
      <c r="B1769" s="47" t="inlineStr">
        <is>
          <t>TIZIANA TERENZI ORION EXTRAIT DE PARFUM 100ML</t>
        </is>
      </c>
      <c r="C1769" s="48" t="n">
        <v>100</v>
      </c>
      <c r="D1769" s="49" t="inlineStr">
        <is>
          <t>Nicho</t>
        </is>
      </c>
      <c r="E1769" s="50" t="n">
        <v>250</v>
      </c>
      <c r="F1769" s="51">
        <f>E1769*$B$5*(1+$B$6)</f>
        <v>325000</v>
      </c>
      <c r="G1769" s="51">
        <f>F1769*$B$7</f>
        <v>812500</v>
      </c>
      <c r="H1769" s="51">
        <f>G1769-F1769</f>
        <v>487500</v>
      </c>
      <c r="I1769" s="52">
        <f>H1769/G1769</f>
        <v>0.6</v>
      </c>
      <c r="J1769" s="53" t="n"/>
      <c r="K1769" s="54" t="n"/>
    </row>
    <row r="1770">
      <c r="A1770" s="39" t="inlineStr">
        <is>
          <t>Tiziana Terenzi</t>
        </is>
      </c>
      <c r="B1770" s="47" t="inlineStr">
        <is>
          <t>TIZIANA TERENZI ORIONIS EXTRAIT DE PARFUM 100ML</t>
        </is>
      </c>
      <c r="C1770" s="48" t="n">
        <v>100</v>
      </c>
      <c r="D1770" s="49" t="inlineStr">
        <is>
          <t>Nicho</t>
        </is>
      </c>
      <c r="E1770" s="50" t="n">
        <v>370</v>
      </c>
      <c r="F1770" s="51">
        <f>E1770*$B$5*(1+$B$6)</f>
        <v>481000</v>
      </c>
      <c r="G1770" s="51">
        <f>F1770*$B$7</f>
        <v>1202500</v>
      </c>
      <c r="H1770" s="51">
        <f>G1770-F1770</f>
        <v>721500</v>
      </c>
      <c r="I1770" s="52">
        <f>H1770/G1770</f>
        <v>0.6</v>
      </c>
      <c r="J1770" s="53" t="n"/>
      <c r="K1770" s="54" t="n"/>
    </row>
    <row r="1771">
      <c r="A1771" s="39" t="inlineStr">
        <is>
          <t>Tiziana Terenzi</t>
        </is>
      </c>
      <c r="B1771" s="47" t="inlineStr">
        <is>
          <t>TIZIANA TERENZI SIENE EXTRAIT DE PARFUM 100ML UNISEX</t>
        </is>
      </c>
      <c r="C1771" s="48" t="n">
        <v>100</v>
      </c>
      <c r="D1771" s="49" t="inlineStr">
        <is>
          <t>Nicho</t>
        </is>
      </c>
      <c r="E1771" s="50" t="n">
        <v>147</v>
      </c>
      <c r="F1771" s="51">
        <f>E1771*$B$5*(1+$B$6)</f>
        <v>191100</v>
      </c>
      <c r="G1771" s="51">
        <f>F1771*$B$7</f>
        <v>477750</v>
      </c>
      <c r="H1771" s="51">
        <f>G1771-F1771</f>
        <v>286650</v>
      </c>
      <c r="I1771" s="52">
        <f>H1771/G1771</f>
        <v>0.6</v>
      </c>
      <c r="J1771" s="53" t="n"/>
      <c r="K1771" s="54" t="n"/>
    </row>
    <row r="1772">
      <c r="A1772" s="39" t="inlineStr">
        <is>
          <t>Tiziana Terenzi</t>
        </is>
      </c>
      <c r="B1772" s="47" t="inlineStr">
        <is>
          <t>TIZIANA TERENZI SIRRAH EXTRAIT DE PARFUM 100ML UNISEX</t>
        </is>
      </c>
      <c r="C1772" s="48" t="n">
        <v>100</v>
      </c>
      <c r="D1772" s="49" t="inlineStr">
        <is>
          <t>Nicho</t>
        </is>
      </c>
      <c r="E1772" s="50" t="n">
        <v>200</v>
      </c>
      <c r="F1772" s="51">
        <f>E1772*$B$5*(1+$B$6)</f>
        <v>260000</v>
      </c>
      <c r="G1772" s="51">
        <f>F1772*$B$7</f>
        <v>650000</v>
      </c>
      <c r="H1772" s="51">
        <f>G1772-F1772</f>
        <v>390000</v>
      </c>
      <c r="I1772" s="52">
        <f>H1772/G1772</f>
        <v>0.6</v>
      </c>
      <c r="J1772" s="53" t="n"/>
      <c r="K1772" s="54" t="n"/>
    </row>
    <row r="1773">
      <c r="A1773" s="39" t="inlineStr">
        <is>
          <t>Tiziana Terenzi</t>
        </is>
      </c>
      <c r="B1773" s="47" t="inlineStr">
        <is>
          <t>TIZIANA TERENZI SMERALDA EXTRAIT DE PARFUM 100ML UNISEX</t>
        </is>
      </c>
      <c r="C1773" s="48" t="n">
        <v>100</v>
      </c>
      <c r="D1773" s="49" t="inlineStr">
        <is>
          <t>Nicho</t>
        </is>
      </c>
      <c r="E1773" s="50" t="n">
        <v>230</v>
      </c>
      <c r="F1773" s="51">
        <f>E1773*$B$5*(1+$B$6)</f>
        <v>299000</v>
      </c>
      <c r="G1773" s="51">
        <f>F1773*$B$7</f>
        <v>747500</v>
      </c>
      <c r="H1773" s="51">
        <f>G1773-F1773</f>
        <v>448500</v>
      </c>
      <c r="I1773" s="52">
        <f>H1773/G1773</f>
        <v>0.6</v>
      </c>
      <c r="J1773" s="53" t="n"/>
      <c r="K1773" s="54" t="n"/>
    </row>
    <row r="1774">
      <c r="A1774" s="39" t="inlineStr">
        <is>
          <t>Tiziana Terenzi</t>
        </is>
      </c>
      <c r="B1774" s="47" t="inlineStr">
        <is>
          <t>TIZIANA TERENZI TABIT EXTRAIT DE PARFUM 100ML</t>
        </is>
      </c>
      <c r="C1774" s="48" t="n">
        <v>100</v>
      </c>
      <c r="D1774" s="49" t="inlineStr">
        <is>
          <t>Nicho</t>
        </is>
      </c>
      <c r="E1774" s="50" t="n">
        <v>330</v>
      </c>
      <c r="F1774" s="51">
        <f>E1774*$B$5*(1+$B$6)</f>
        <v>429000</v>
      </c>
      <c r="G1774" s="51">
        <f>F1774*$B$7</f>
        <v>1072500</v>
      </c>
      <c r="H1774" s="51">
        <f>G1774-F1774</f>
        <v>643500</v>
      </c>
      <c r="I1774" s="52">
        <f>H1774/G1774</f>
        <v>0.6</v>
      </c>
      <c r="J1774" s="53" t="n"/>
      <c r="K1774" s="54" t="n"/>
    </row>
    <row r="1775">
      <c r="A1775" s="39" t="inlineStr">
        <is>
          <t>Tiziana Terenzi</t>
        </is>
      </c>
      <c r="B1775" s="47" t="inlineStr">
        <is>
          <t>TIZIANA TERENZI URSA EXTRAIT DE PARFUM 100ML</t>
        </is>
      </c>
      <c r="C1775" s="48" t="n">
        <v>100</v>
      </c>
      <c r="D1775" s="49" t="inlineStr">
        <is>
          <t>Nicho</t>
        </is>
      </c>
      <c r="E1775" s="50" t="n">
        <v>250</v>
      </c>
      <c r="F1775" s="51">
        <f>E1775*$B$5*(1+$B$6)</f>
        <v>325000</v>
      </c>
      <c r="G1775" s="51">
        <f>F1775*$B$7</f>
        <v>812500</v>
      </c>
      <c r="H1775" s="51">
        <f>G1775-F1775</f>
        <v>487500</v>
      </c>
      <c r="I1775" s="52">
        <f>H1775/G1775</f>
        <v>0.6</v>
      </c>
      <c r="J1775" s="53" t="n"/>
      <c r="K1775" s="54" t="n"/>
    </row>
    <row r="1776">
      <c r="A1776" s="39" t="inlineStr">
        <is>
          <t>Tiziana Terenzi</t>
        </is>
      </c>
      <c r="B1776" s="47" t="inlineStr">
        <is>
          <t>TIZIANA TERENZI VELE EXTRAIT DE PARFUM 100ML</t>
        </is>
      </c>
      <c r="C1776" s="48" t="n">
        <v>100</v>
      </c>
      <c r="D1776" s="49" t="inlineStr">
        <is>
          <t>Nicho</t>
        </is>
      </c>
      <c r="E1776" s="50" t="n">
        <v>160</v>
      </c>
      <c r="F1776" s="51">
        <f>E1776*$B$5*(1+$B$6)</f>
        <v>208000</v>
      </c>
      <c r="G1776" s="51">
        <f>F1776*$B$7</f>
        <v>520000</v>
      </c>
      <c r="H1776" s="51">
        <f>G1776-F1776</f>
        <v>312000</v>
      </c>
      <c r="I1776" s="52">
        <f>H1776/G1776</f>
        <v>0.6</v>
      </c>
      <c r="J1776" s="53" t="n"/>
      <c r="K1776" s="54" t="n"/>
    </row>
    <row r="1777">
      <c r="A1777" s="39" t="inlineStr">
        <is>
          <t>Tiziana Terenzi</t>
        </is>
      </c>
      <c r="B1777" s="47" t="inlineStr">
        <is>
          <t>TIZIANA TERENZI WHITE FIRE EXTRAIT DE PARFUM 100ML UNISEX</t>
        </is>
      </c>
      <c r="C1777" s="48" t="n">
        <v>100</v>
      </c>
      <c r="D1777" s="49" t="inlineStr">
        <is>
          <t>Nicho</t>
        </is>
      </c>
      <c r="E1777" s="50" t="n">
        <v>147</v>
      </c>
      <c r="F1777" s="51">
        <f>E1777*$B$5*(1+$B$6)</f>
        <v>191100</v>
      </c>
      <c r="G1777" s="51">
        <f>F1777*$B$7</f>
        <v>477750</v>
      </c>
      <c r="H1777" s="51">
        <f>G1777-F1777</f>
        <v>286650</v>
      </c>
      <c r="I1777" s="52">
        <f>H1777/G1777</f>
        <v>0.6</v>
      </c>
      <c r="J1777" s="53" t="n"/>
      <c r="K1777" s="54" t="n"/>
    </row>
    <row r="1778">
      <c r="A1778" s="39" t="inlineStr">
        <is>
          <t>Tom Ford</t>
        </is>
      </c>
      <c r="B1778" s="47" t="inlineStr">
        <is>
          <t>TOM FORD NOIR EDP 50ML</t>
        </is>
      </c>
      <c r="C1778" s="48" t="n">
        <v>50</v>
      </c>
      <c r="D1778" s="49" t="inlineStr">
        <is>
          <t>Diseñador</t>
        </is>
      </c>
      <c r="E1778" s="50" t="n">
        <v>136</v>
      </c>
      <c r="F1778" s="51">
        <f>E1778*$B$5*(1+$B$6)</f>
        <v>176800</v>
      </c>
      <c r="G1778" s="51">
        <f>F1778*$B$7</f>
        <v>442000</v>
      </c>
      <c r="H1778" s="51">
        <f>G1778-F1778</f>
        <v>265200</v>
      </c>
      <c r="I1778" s="52">
        <f>H1778/G1778</f>
        <v>0.6</v>
      </c>
      <c r="J1778" s="53" t="n"/>
      <c r="K1778" s="54" t="n"/>
    </row>
    <row r="1779">
      <c r="A1779" s="39" t="inlineStr">
        <is>
          <t>Tom Ford</t>
        </is>
      </c>
      <c r="B1779" s="47" t="inlineStr">
        <is>
          <t>TOM FORD ROSE D'AMALFI EDP 100ML UNISEX</t>
        </is>
      </c>
      <c r="C1779" s="48" t="n">
        <v>100</v>
      </c>
      <c r="D1779" s="49" t="inlineStr">
        <is>
          <t>Diseñador</t>
        </is>
      </c>
      <c r="E1779" s="50" t="n">
        <v>240</v>
      </c>
      <c r="F1779" s="51">
        <f>E1779*$B$5*(1+$B$6)</f>
        <v>312000</v>
      </c>
      <c r="G1779" s="51">
        <f>F1779*$B$7</f>
        <v>780000</v>
      </c>
      <c r="H1779" s="51">
        <f>G1779-F1779</f>
        <v>468000</v>
      </c>
      <c r="I1779" s="52">
        <f>H1779/G1779</f>
        <v>0.6</v>
      </c>
      <c r="J1779" s="53" t="n"/>
      <c r="K1779" s="54" t="n"/>
    </row>
    <row r="1780">
      <c r="A1780" s="39" t="inlineStr">
        <is>
          <t>Tommy Hilfiger</t>
        </is>
      </c>
      <c r="B1780" s="47" t="inlineStr">
        <is>
          <t>TESTER TOMMY GIRL EDT 100ML FEM</t>
        </is>
      </c>
      <c r="C1780" s="48" t="n">
        <v>100</v>
      </c>
      <c r="D1780" s="49" t="inlineStr">
        <is>
          <t>Tester</t>
        </is>
      </c>
      <c r="E1780" s="50" t="n">
        <v>23</v>
      </c>
      <c r="F1780" s="51">
        <f>E1780*$B$5*(1+$B$6)</f>
        <v>29900</v>
      </c>
      <c r="G1780" s="51">
        <f>F1780*$B$7</f>
        <v>74750</v>
      </c>
      <c r="H1780" s="51">
        <f>G1780-F1780</f>
        <v>44850</v>
      </c>
      <c r="I1780" s="52">
        <f>H1780/G1780</f>
        <v>0.6</v>
      </c>
      <c r="J1780" s="53" t="n"/>
      <c r="K1780" s="54" t="n"/>
    </row>
    <row r="1781">
      <c r="A1781" s="39" t="inlineStr">
        <is>
          <t>Tommy Hilfiger</t>
        </is>
      </c>
      <c r="B1781" s="47" t="inlineStr">
        <is>
          <t>TOMMY HILFIGER EDT 100ML MASC</t>
        </is>
      </c>
      <c r="C1781" s="48" t="n">
        <v>100</v>
      </c>
      <c r="D1781" s="49" t="inlineStr">
        <is>
          <t>Diseñador</t>
        </is>
      </c>
      <c r="E1781" s="50" t="n">
        <v>24</v>
      </c>
      <c r="F1781" s="51">
        <f>E1781*$B$5*(1+$B$6)</f>
        <v>31200</v>
      </c>
      <c r="G1781" s="51">
        <f>F1781*$B$7</f>
        <v>78000</v>
      </c>
      <c r="H1781" s="51">
        <f>G1781-F1781</f>
        <v>46800</v>
      </c>
      <c r="I1781" s="52">
        <f>H1781/G1781</f>
        <v>0.6</v>
      </c>
      <c r="J1781" s="53" t="n"/>
      <c r="K1781" s="54" t="n"/>
    </row>
    <row r="1782">
      <c r="A1782" s="39" t="inlineStr">
        <is>
          <t>Tubbees</t>
        </is>
      </c>
      <c r="B1782" s="47" t="inlineStr">
        <is>
          <t>TUBBEES TITANS SPLASH EDP 50ML</t>
        </is>
      </c>
      <c r="C1782" s="48" t="n">
        <v>50</v>
      </c>
      <c r="D1782" s="49" t="inlineStr">
        <is>
          <t>Árabe</t>
        </is>
      </c>
      <c r="E1782" s="50" t="n">
        <v>7.25</v>
      </c>
      <c r="F1782" s="51">
        <f>E1782*$B$5*(1+$B$6)</f>
        <v>9425</v>
      </c>
      <c r="G1782" s="51">
        <f>F1782*$B$7</f>
        <v>23562.5</v>
      </c>
      <c r="H1782" s="51">
        <f>G1782-F1782</f>
        <v>14137.5</v>
      </c>
      <c r="I1782" s="52">
        <f>H1782/G1782</f>
        <v>0.6</v>
      </c>
      <c r="J1782" s="53" t="n"/>
      <c r="K1782" s="54" t="inlineStr">
        <is>
          <t>clon/genérico</t>
        </is>
      </c>
    </row>
    <row r="1783">
      <c r="A1783" s="39" t="inlineStr">
        <is>
          <t>Valentino</t>
        </is>
      </c>
      <c r="B1783" s="47" t="inlineStr">
        <is>
          <t>VALENTINO DONNA BORN IN ROMA CORAL FANTASY EDP 100ML</t>
        </is>
      </c>
      <c r="C1783" s="48" t="n">
        <v>100</v>
      </c>
      <c r="D1783" s="49" t="inlineStr">
        <is>
          <t>Diseñador</t>
        </is>
      </c>
      <c r="E1783" s="50" t="n">
        <v>93</v>
      </c>
      <c r="F1783" s="51">
        <f>E1783*$B$5*(1+$B$6)</f>
        <v>120900</v>
      </c>
      <c r="G1783" s="51">
        <f>F1783*$B$7</f>
        <v>302250</v>
      </c>
      <c r="H1783" s="51">
        <f>G1783-F1783</f>
        <v>181350</v>
      </c>
      <c r="I1783" s="52">
        <f>H1783/G1783</f>
        <v>0.6</v>
      </c>
      <c r="J1783" s="53" t="n"/>
      <c r="K1783" s="54" t="n"/>
    </row>
    <row r="1784">
      <c r="A1784" s="39" t="inlineStr">
        <is>
          <t>Valentino</t>
        </is>
      </c>
      <c r="B1784" s="47" t="inlineStr">
        <is>
          <t>VALENTINO DONNA BORN IN ROMA GREEN STRAVAGANZA EDP 100ML</t>
        </is>
      </c>
      <c r="C1784" s="48" t="n">
        <v>100</v>
      </c>
      <c r="D1784" s="49" t="inlineStr">
        <is>
          <t>Diseñador</t>
        </is>
      </c>
      <c r="E1784" s="50" t="n">
        <v>108</v>
      </c>
      <c r="F1784" s="51">
        <f>E1784*$B$5*(1+$B$6)</f>
        <v>140400</v>
      </c>
      <c r="G1784" s="51">
        <f>F1784*$B$7</f>
        <v>351000</v>
      </c>
      <c r="H1784" s="51">
        <f>G1784-F1784</f>
        <v>210600</v>
      </c>
      <c r="I1784" s="52">
        <f>H1784/G1784</f>
        <v>0.6</v>
      </c>
      <c r="J1784" s="53" t="n"/>
      <c r="K1784" s="54" t="n"/>
    </row>
    <row r="1785">
      <c r="A1785" s="39" t="inlineStr">
        <is>
          <t>Valentino</t>
        </is>
      </c>
      <c r="B1785" s="47" t="inlineStr">
        <is>
          <t>VALENTINO DONNA BORN IN ROMA INTENSE EDP 100ML</t>
        </is>
      </c>
      <c r="C1785" s="48" t="n">
        <v>100</v>
      </c>
      <c r="D1785" s="49" t="inlineStr">
        <is>
          <t>Diseñador</t>
        </is>
      </c>
      <c r="E1785" s="50" t="n">
        <v>125</v>
      </c>
      <c r="F1785" s="51">
        <f>E1785*$B$5*(1+$B$6)</f>
        <v>162500</v>
      </c>
      <c r="G1785" s="51">
        <f>F1785*$B$7</f>
        <v>406250</v>
      </c>
      <c r="H1785" s="51">
        <f>G1785-F1785</f>
        <v>243750</v>
      </c>
      <c r="I1785" s="52">
        <f>H1785/G1785</f>
        <v>0.6</v>
      </c>
      <c r="J1785" s="53" t="n"/>
      <c r="K1785" s="54" t="n"/>
    </row>
    <row r="1786">
      <c r="A1786" s="39" t="inlineStr">
        <is>
          <t>Valentino</t>
        </is>
      </c>
      <c r="B1786" s="47" t="inlineStr">
        <is>
          <t>VALENTINO DONNA BORN IN ROMA YELLOW DREAM EDP 100ML</t>
        </is>
      </c>
      <c r="C1786" s="48" t="n">
        <v>100</v>
      </c>
      <c r="D1786" s="49" t="inlineStr">
        <is>
          <t>Diseñador</t>
        </is>
      </c>
      <c r="E1786" s="50" t="n">
        <v>85</v>
      </c>
      <c r="F1786" s="51">
        <f>E1786*$B$5*(1+$B$6)</f>
        <v>110500</v>
      </c>
      <c r="G1786" s="51">
        <f>F1786*$B$7</f>
        <v>276250</v>
      </c>
      <c r="H1786" s="51">
        <f>G1786-F1786</f>
        <v>165750</v>
      </c>
      <c r="I1786" s="52">
        <f>H1786/G1786</f>
        <v>0.6</v>
      </c>
      <c r="J1786" s="53" t="n"/>
      <c r="K1786" s="54" t="n"/>
    </row>
    <row r="1787">
      <c r="A1787" s="39" t="inlineStr">
        <is>
          <t>Valentino</t>
        </is>
      </c>
      <c r="B1787" s="47" t="inlineStr">
        <is>
          <t>VALENTINO DONNA EDP 100ML FEM</t>
        </is>
      </c>
      <c r="C1787" s="48" t="n">
        <v>100</v>
      </c>
      <c r="D1787" s="49" t="inlineStr">
        <is>
          <t>Diseñador</t>
        </is>
      </c>
      <c r="E1787" s="50" t="n">
        <v>90</v>
      </c>
      <c r="F1787" s="51">
        <f>E1787*$B$5*(1+$B$6)</f>
        <v>117000</v>
      </c>
      <c r="G1787" s="51">
        <f>F1787*$B$7</f>
        <v>292500</v>
      </c>
      <c r="H1787" s="51">
        <f>G1787-F1787</f>
        <v>175500</v>
      </c>
      <c r="I1787" s="52">
        <f>H1787/G1787</f>
        <v>0.6</v>
      </c>
      <c r="J1787" s="53" t="n"/>
      <c r="K1787" s="54" t="n"/>
    </row>
    <row r="1788">
      <c r="A1788" s="39" t="inlineStr">
        <is>
          <t>Valentino</t>
        </is>
      </c>
      <c r="B1788" s="47" t="inlineStr">
        <is>
          <t>VALENTINO UOMO BORN IN ROMA CORAL FANTASY EDT 100ML</t>
        </is>
      </c>
      <c r="C1788" s="48" t="n">
        <v>100</v>
      </c>
      <c r="D1788" s="49" t="inlineStr">
        <is>
          <t>Diseñador</t>
        </is>
      </c>
      <c r="E1788" s="50" t="n">
        <v>98</v>
      </c>
      <c r="F1788" s="51">
        <f>E1788*$B$5*(1+$B$6)</f>
        <v>127400</v>
      </c>
      <c r="G1788" s="51">
        <f>F1788*$B$7</f>
        <v>318500</v>
      </c>
      <c r="H1788" s="51">
        <f>G1788-F1788</f>
        <v>191100</v>
      </c>
      <c r="I1788" s="52">
        <f>H1788/G1788</f>
        <v>0.6</v>
      </c>
      <c r="J1788" s="53" t="n"/>
      <c r="K1788" s="54" t="n"/>
    </row>
    <row r="1789">
      <c r="A1789" s="39" t="inlineStr">
        <is>
          <t>Valentino</t>
        </is>
      </c>
      <c r="B1789" s="47" t="inlineStr">
        <is>
          <t>VALENTINO UOMO BORN IN ROMA EDT 100ML MASC</t>
        </is>
      </c>
      <c r="C1789" s="48" t="n">
        <v>100</v>
      </c>
      <c r="D1789" s="49" t="inlineStr">
        <is>
          <t>Diseñador</t>
        </is>
      </c>
      <c r="E1789" s="50" t="n">
        <v>95</v>
      </c>
      <c r="F1789" s="51">
        <f>E1789*$B$5*(1+$B$6)</f>
        <v>123500</v>
      </c>
      <c r="G1789" s="51">
        <f>F1789*$B$7</f>
        <v>308750</v>
      </c>
      <c r="H1789" s="51">
        <f>G1789-F1789</f>
        <v>185250</v>
      </c>
      <c r="I1789" s="52">
        <f>H1789/G1789</f>
        <v>0.6</v>
      </c>
      <c r="J1789" s="53" t="n"/>
      <c r="K1789" s="54" t="n"/>
    </row>
    <row r="1790">
      <c r="A1790" s="39" t="inlineStr">
        <is>
          <t>Valentino</t>
        </is>
      </c>
      <c r="B1790" s="47" t="inlineStr">
        <is>
          <t>VALENTINO UOMO BORN IN ROMA EXTRADOSE PARFUM 50ML</t>
        </is>
      </c>
      <c r="C1790" s="48" t="n">
        <v>50</v>
      </c>
      <c r="D1790" s="49" t="inlineStr">
        <is>
          <t>Diseñador</t>
        </is>
      </c>
      <c r="E1790" s="50" t="n">
        <v>82</v>
      </c>
      <c r="F1790" s="51">
        <f>E1790*$B$5*(1+$B$6)</f>
        <v>106600</v>
      </c>
      <c r="G1790" s="51">
        <f>F1790*$B$7</f>
        <v>266500</v>
      </c>
      <c r="H1790" s="51">
        <f>G1790-F1790</f>
        <v>159900</v>
      </c>
      <c r="I1790" s="52">
        <f>H1790/G1790</f>
        <v>0.6</v>
      </c>
      <c r="J1790" s="53" t="n"/>
      <c r="K1790" s="54" t="n"/>
    </row>
    <row r="1791">
      <c r="A1791" s="39" t="inlineStr">
        <is>
          <t>Valentino</t>
        </is>
      </c>
      <c r="B1791" s="47" t="inlineStr">
        <is>
          <t>VALENTINO UOMO BORN IN ROMA GREEN STRAVAGANZA EDT 100ML</t>
        </is>
      </c>
      <c r="C1791" s="48" t="n">
        <v>100</v>
      </c>
      <c r="D1791" s="49" t="inlineStr">
        <is>
          <t>Diseñador</t>
        </is>
      </c>
      <c r="E1791" s="50" t="n">
        <v>94</v>
      </c>
      <c r="F1791" s="51">
        <f>E1791*$B$5*(1+$B$6)</f>
        <v>122200</v>
      </c>
      <c r="G1791" s="51">
        <f>F1791*$B$7</f>
        <v>305500</v>
      </c>
      <c r="H1791" s="51">
        <f>G1791-F1791</f>
        <v>183300</v>
      </c>
      <c r="I1791" s="52">
        <f>H1791/G1791</f>
        <v>0.6</v>
      </c>
      <c r="J1791" s="53" t="n"/>
      <c r="K1791" s="54" t="n"/>
    </row>
    <row r="1792">
      <c r="A1792" s="39" t="inlineStr">
        <is>
          <t>Valentino</t>
        </is>
      </c>
      <c r="B1792" s="47" t="inlineStr">
        <is>
          <t>VALENTINO UOMO BORN IN ROMA THE GOLD EDT 100ML</t>
        </is>
      </c>
      <c r="C1792" s="48" t="n">
        <v>100</v>
      </c>
      <c r="D1792" s="49" t="inlineStr">
        <is>
          <t>Diseñador</t>
        </is>
      </c>
      <c r="E1792" s="50" t="n">
        <v>137</v>
      </c>
      <c r="F1792" s="51">
        <f>E1792*$B$5*(1+$B$6)</f>
        <v>178100</v>
      </c>
      <c r="G1792" s="51">
        <f>F1792*$B$7</f>
        <v>445250</v>
      </c>
      <c r="H1792" s="51">
        <f>G1792-F1792</f>
        <v>267150</v>
      </c>
      <c r="I1792" s="52">
        <f>H1792/G1792</f>
        <v>0.6</v>
      </c>
      <c r="J1792" s="53" t="n"/>
      <c r="K1792" s="54" t="n"/>
    </row>
    <row r="1793">
      <c r="A1793" s="39" t="inlineStr">
        <is>
          <t>Valentino</t>
        </is>
      </c>
      <c r="B1793" s="47" t="inlineStr">
        <is>
          <t>VALENTINO UOMO BORN IN ROMA TRAVEL EXCLUSIVE KIT EDT 100 + 10</t>
        </is>
      </c>
      <c r="C1793" s="48" t="n"/>
      <c r="D1793" s="49" t="inlineStr">
        <is>
          <t>Diseñador</t>
        </is>
      </c>
      <c r="E1793" s="50" t="n">
        <v>129</v>
      </c>
      <c r="F1793" s="51">
        <f>E1793*$B$5*(1+$B$6)</f>
        <v>167700</v>
      </c>
      <c r="G1793" s="51">
        <f>F1793*$B$7</f>
        <v>419250</v>
      </c>
      <c r="H1793" s="51">
        <f>G1793-F1793</f>
        <v>251550</v>
      </c>
      <c r="I1793" s="52">
        <f>H1793/G1793</f>
        <v>0.6</v>
      </c>
      <c r="J1793" s="53" t="n"/>
      <c r="K1793" s="54" t="n"/>
    </row>
    <row r="1794">
      <c r="A1794" s="39" t="inlineStr">
        <is>
          <t>Valentino</t>
        </is>
      </c>
      <c r="B1794" s="47" t="inlineStr">
        <is>
          <t>VALENTINO UOMO BORN IN ROMA YELLOW DREAM EDT 100ML</t>
        </is>
      </c>
      <c r="C1794" s="48" t="n">
        <v>100</v>
      </c>
      <c r="D1794" s="49" t="inlineStr">
        <is>
          <t>Diseñador</t>
        </is>
      </c>
      <c r="E1794" s="50" t="n">
        <v>85</v>
      </c>
      <c r="F1794" s="51">
        <f>E1794*$B$5*(1+$B$6)</f>
        <v>110500</v>
      </c>
      <c r="G1794" s="51">
        <f>F1794*$B$7</f>
        <v>276250</v>
      </c>
      <c r="H1794" s="51">
        <f>G1794-F1794</f>
        <v>165750</v>
      </c>
      <c r="I1794" s="52">
        <f>H1794/G1794</f>
        <v>0.6</v>
      </c>
      <c r="J1794" s="53" t="n"/>
      <c r="K1794" s="54" t="n"/>
    </row>
    <row r="1795">
      <c r="A1795" s="39" t="inlineStr">
        <is>
          <t>Valentino</t>
        </is>
      </c>
      <c r="B1795" s="47" t="inlineStr">
        <is>
          <t>VALENTINO UOMO EDT 100ML MASC</t>
        </is>
      </c>
      <c r="C1795" s="48" t="n">
        <v>100</v>
      </c>
      <c r="D1795" s="49" t="inlineStr">
        <is>
          <t>Diseñador</t>
        </is>
      </c>
      <c r="E1795" s="50" t="n">
        <v>68</v>
      </c>
      <c r="F1795" s="51">
        <f>E1795*$B$5*(1+$B$6)</f>
        <v>88400</v>
      </c>
      <c r="G1795" s="51">
        <f>F1795*$B$7</f>
        <v>221000</v>
      </c>
      <c r="H1795" s="51">
        <f>G1795-F1795</f>
        <v>132600</v>
      </c>
      <c r="I1795" s="52">
        <f>H1795/G1795</f>
        <v>0.6</v>
      </c>
      <c r="J1795" s="53" t="n"/>
      <c r="K1795" s="54" t="n"/>
    </row>
    <row r="1796">
      <c r="A1796" s="39" t="inlineStr">
        <is>
          <t>Valentino</t>
        </is>
      </c>
      <c r="B1796" s="47" t="inlineStr">
        <is>
          <t>VALENTINO VALENTINA EDP FEM 80ML</t>
        </is>
      </c>
      <c r="C1796" s="48" t="n">
        <v>80</v>
      </c>
      <c r="D1796" s="49" t="inlineStr">
        <is>
          <t>Diseñador</t>
        </is>
      </c>
      <c r="E1796" s="50" t="n">
        <v>86</v>
      </c>
      <c r="F1796" s="51">
        <f>E1796*$B$5*(1+$B$6)</f>
        <v>111800</v>
      </c>
      <c r="G1796" s="51">
        <f>F1796*$B$7</f>
        <v>279500</v>
      </c>
      <c r="H1796" s="51">
        <f>G1796-F1796</f>
        <v>167700</v>
      </c>
      <c r="I1796" s="52">
        <f>H1796/G1796</f>
        <v>0.6</v>
      </c>
      <c r="J1796" s="53" t="n"/>
      <c r="K1796" s="54" t="n"/>
    </row>
    <row r="1797">
      <c r="A1797" s="39" t="inlineStr">
        <is>
          <t>Valentino</t>
        </is>
      </c>
      <c r="B1797" s="47" t="inlineStr">
        <is>
          <t>VALENTINO VOCE VIVA INTENSA EDP INTENSE 100ML FEM</t>
        </is>
      </c>
      <c r="C1797" s="48" t="n">
        <v>100</v>
      </c>
      <c r="D1797" s="49" t="inlineStr">
        <is>
          <t>Diseñador</t>
        </is>
      </c>
      <c r="E1797" s="50" t="n">
        <v>115</v>
      </c>
      <c r="F1797" s="51">
        <f>E1797*$B$5*(1+$B$6)</f>
        <v>149500</v>
      </c>
      <c r="G1797" s="51">
        <f>F1797*$B$7</f>
        <v>373750</v>
      </c>
      <c r="H1797" s="51">
        <f>G1797-F1797</f>
        <v>224250</v>
      </c>
      <c r="I1797" s="52">
        <f>H1797/G1797</f>
        <v>0.6</v>
      </c>
      <c r="J1797" s="53" t="n"/>
      <c r="K1797" s="54" t="n"/>
    </row>
    <row r="1798">
      <c r="A1798" s="39" t="inlineStr">
        <is>
          <t>Versace</t>
        </is>
      </c>
      <c r="B1798" s="47" t="inlineStr">
        <is>
          <t>TESTER VERSACE DYLAN BLUE EDP 100ML FEM</t>
        </is>
      </c>
      <c r="C1798" s="48" t="n">
        <v>100</v>
      </c>
      <c r="D1798" s="49" t="inlineStr">
        <is>
          <t>Tester</t>
        </is>
      </c>
      <c r="E1798" s="50" t="n">
        <v>48</v>
      </c>
      <c r="F1798" s="51">
        <f>E1798*$B$5*(1+$B$6)</f>
        <v>62400</v>
      </c>
      <c r="G1798" s="51">
        <f>F1798*$B$7</f>
        <v>156000</v>
      </c>
      <c r="H1798" s="51">
        <f>G1798-F1798</f>
        <v>93600</v>
      </c>
      <c r="I1798" s="52">
        <f>H1798/G1798</f>
        <v>0.6</v>
      </c>
      <c r="J1798" s="53" t="n"/>
      <c r="K1798" s="54" t="n"/>
    </row>
    <row r="1799">
      <c r="A1799" s="39" t="inlineStr">
        <is>
          <t>Versace</t>
        </is>
      </c>
      <c r="B1799" s="47" t="inlineStr">
        <is>
          <t>TESTER VERSACE DYLAN PURPLE EDP 100ML</t>
        </is>
      </c>
      <c r="C1799" s="48" t="n">
        <v>100</v>
      </c>
      <c r="D1799" s="49" t="inlineStr">
        <is>
          <t>Tester</t>
        </is>
      </c>
      <c r="E1799" s="50" t="n">
        <v>43</v>
      </c>
      <c r="F1799" s="51">
        <f>E1799*$B$5*(1+$B$6)</f>
        <v>55900</v>
      </c>
      <c r="G1799" s="51">
        <f>F1799*$B$7</f>
        <v>139750</v>
      </c>
      <c r="H1799" s="51">
        <f>G1799-F1799</f>
        <v>83850</v>
      </c>
      <c r="I1799" s="52">
        <f>H1799/G1799</f>
        <v>0.6</v>
      </c>
      <c r="J1799" s="53" t="n"/>
      <c r="K1799" s="54" t="n"/>
    </row>
    <row r="1800">
      <c r="A1800" s="39" t="inlineStr">
        <is>
          <t>Versace</t>
        </is>
      </c>
      <c r="B1800" s="47" t="inlineStr">
        <is>
          <t>TESTER VERSACE EROS MEN EDP 100ML</t>
        </is>
      </c>
      <c r="C1800" s="48" t="n">
        <v>100</v>
      </c>
      <c r="D1800" s="49" t="inlineStr">
        <is>
          <t>Tester</t>
        </is>
      </c>
      <c r="E1800" s="50" t="n">
        <v>55</v>
      </c>
      <c r="F1800" s="51">
        <f>E1800*$B$5*(1+$B$6)</f>
        <v>71500</v>
      </c>
      <c r="G1800" s="51">
        <f>F1800*$B$7</f>
        <v>178750</v>
      </c>
      <c r="H1800" s="51">
        <f>G1800-F1800</f>
        <v>107250</v>
      </c>
      <c r="I1800" s="52">
        <f>H1800/G1800</f>
        <v>0.6</v>
      </c>
      <c r="J1800" s="53" t="n"/>
      <c r="K1800" s="54" t="n"/>
    </row>
    <row r="1801">
      <c r="A1801" s="39" t="inlineStr">
        <is>
          <t>Versace</t>
        </is>
      </c>
      <c r="B1801" s="47" t="inlineStr">
        <is>
          <t>TESTER VERSACE EROS MEN EDT 100ML C/T</t>
        </is>
      </c>
      <c r="C1801" s="48" t="n">
        <v>100</v>
      </c>
      <c r="D1801" s="49" t="inlineStr">
        <is>
          <t>Tester</t>
        </is>
      </c>
      <c r="E1801" s="50" t="n">
        <v>42.5</v>
      </c>
      <c r="F1801" s="51">
        <f>E1801*$B$5*(1+$B$6)</f>
        <v>55250</v>
      </c>
      <c r="G1801" s="51">
        <f>F1801*$B$7</f>
        <v>138125</v>
      </c>
      <c r="H1801" s="51">
        <f>G1801-F1801</f>
        <v>82875</v>
      </c>
      <c r="I1801" s="52">
        <f>H1801/G1801</f>
        <v>0.6</v>
      </c>
      <c r="J1801" s="53" t="n"/>
      <c r="K1801" s="54" t="n"/>
    </row>
    <row r="1802">
      <c r="A1802" s="39" t="inlineStr">
        <is>
          <t>Versace</t>
        </is>
      </c>
      <c r="B1802" s="47" t="inlineStr">
        <is>
          <t>TESTER VERSACE EROS POUR FEMME EDT 100ML FEM</t>
        </is>
      </c>
      <c r="C1802" s="48" t="n">
        <v>100</v>
      </c>
      <c r="D1802" s="49" t="inlineStr">
        <is>
          <t>Tester</t>
        </is>
      </c>
      <c r="E1802" s="50" t="n">
        <v>46</v>
      </c>
      <c r="F1802" s="51">
        <f>E1802*$B$5*(1+$B$6)</f>
        <v>59800</v>
      </c>
      <c r="G1802" s="51">
        <f>F1802*$B$7</f>
        <v>149500</v>
      </c>
      <c r="H1802" s="51">
        <f>G1802-F1802</f>
        <v>89700</v>
      </c>
      <c r="I1802" s="52">
        <f>H1802/G1802</f>
        <v>0.6</v>
      </c>
      <c r="J1802" s="53" t="n"/>
      <c r="K1802" s="54" t="n"/>
    </row>
    <row r="1803">
      <c r="A1803" s="39" t="inlineStr">
        <is>
          <t>Versace</t>
        </is>
      </c>
      <c r="B1803" s="47" t="inlineStr">
        <is>
          <t>TESTER VERSACE L HOMME (MARROM) EDT 90ML</t>
        </is>
      </c>
      <c r="C1803" s="48" t="n">
        <v>90</v>
      </c>
      <c r="D1803" s="49" t="inlineStr">
        <is>
          <t>Tester</t>
        </is>
      </c>
      <c r="E1803" s="50" t="n">
        <v>21</v>
      </c>
      <c r="F1803" s="51">
        <f>E1803*$B$5*(1+$B$6)</f>
        <v>27300</v>
      </c>
      <c r="G1803" s="51">
        <f>F1803*$B$7</f>
        <v>68250</v>
      </c>
      <c r="H1803" s="51">
        <f>G1803-F1803</f>
        <v>40950</v>
      </c>
      <c r="I1803" s="52">
        <f>H1803/G1803</f>
        <v>0.6</v>
      </c>
      <c r="J1803" s="53" t="n"/>
      <c r="K1803" s="54" t="n"/>
    </row>
    <row r="1804">
      <c r="A1804" s="39" t="inlineStr">
        <is>
          <t>Versace</t>
        </is>
      </c>
      <c r="B1804" s="47" t="inlineStr">
        <is>
          <t>TESTER VERSACE YELLOW DIAMOND EDT 90ML C/T</t>
        </is>
      </c>
      <c r="C1804" s="48" t="n">
        <v>90</v>
      </c>
      <c r="D1804" s="49" t="inlineStr">
        <is>
          <t>Tester</t>
        </is>
      </c>
      <c r="E1804" s="50" t="n">
        <v>39</v>
      </c>
      <c r="F1804" s="51">
        <f>E1804*$B$5*(1+$B$6)</f>
        <v>50700</v>
      </c>
      <c r="G1804" s="51">
        <f>F1804*$B$7</f>
        <v>126750</v>
      </c>
      <c r="H1804" s="51">
        <f>G1804-F1804</f>
        <v>76050</v>
      </c>
      <c r="I1804" s="52">
        <f>H1804/G1804</f>
        <v>0.6</v>
      </c>
      <c r="J1804" s="53" t="n"/>
      <c r="K1804" s="54" t="n"/>
    </row>
    <row r="1805">
      <c r="A1805" s="39" t="inlineStr">
        <is>
          <t>Versace</t>
        </is>
      </c>
      <c r="B1805" s="47" t="inlineStr">
        <is>
          <t>VERSACE BRIGHT CRYSTAL EDT 200ML</t>
        </is>
      </c>
      <c r="C1805" s="48" t="n">
        <v>200</v>
      </c>
      <c r="D1805" s="49" t="inlineStr">
        <is>
          <t>Diseñador</t>
        </is>
      </c>
      <c r="E1805" s="50" t="n">
        <v>69</v>
      </c>
      <c r="F1805" s="51">
        <f>E1805*$B$5*(1+$B$6)</f>
        <v>89700</v>
      </c>
      <c r="G1805" s="51">
        <f>F1805*$B$7</f>
        <v>224250</v>
      </c>
      <c r="H1805" s="51">
        <f>G1805-F1805</f>
        <v>134550</v>
      </c>
      <c r="I1805" s="52">
        <f>H1805/G1805</f>
        <v>0.6</v>
      </c>
      <c r="J1805" s="53" t="n"/>
      <c r="K1805" s="54" t="n"/>
    </row>
    <row r="1806">
      <c r="A1806" s="39" t="inlineStr">
        <is>
          <t>Versace</t>
        </is>
      </c>
      <c r="B1806" s="47" t="inlineStr">
        <is>
          <t>VERSACE CRYSTAL NOIR EDT 90ML FEM</t>
        </is>
      </c>
      <c r="C1806" s="48" t="n">
        <v>90</v>
      </c>
      <c r="D1806" s="49" t="inlineStr">
        <is>
          <t>Diseñador</t>
        </is>
      </c>
      <c r="E1806" s="50" t="n">
        <v>62</v>
      </c>
      <c r="F1806" s="51">
        <f>E1806*$B$5*(1+$B$6)</f>
        <v>80600</v>
      </c>
      <c r="G1806" s="51">
        <f>F1806*$B$7</f>
        <v>201500</v>
      </c>
      <c r="H1806" s="51">
        <f>G1806-F1806</f>
        <v>120900</v>
      </c>
      <c r="I1806" s="52">
        <f>H1806/G1806</f>
        <v>0.6</v>
      </c>
      <c r="J1806" s="53" t="n"/>
      <c r="K1806" s="54" t="n"/>
    </row>
    <row r="1807">
      <c r="A1807" s="39" t="inlineStr">
        <is>
          <t>Versace</t>
        </is>
      </c>
      <c r="B1807" s="47" t="inlineStr">
        <is>
          <t>VERSACE CRYSTAL NOIR POUR FEMME PARFUM 90ML</t>
        </is>
      </c>
      <c r="C1807" s="48" t="n">
        <v>90</v>
      </c>
      <c r="D1807" s="49" t="inlineStr">
        <is>
          <t>Diseñador</t>
        </is>
      </c>
      <c r="E1807" s="50" t="n">
        <v>76</v>
      </c>
      <c r="F1807" s="51">
        <f>E1807*$B$5*(1+$B$6)</f>
        <v>98800</v>
      </c>
      <c r="G1807" s="51">
        <f>F1807*$B$7</f>
        <v>247000</v>
      </c>
      <c r="H1807" s="51">
        <f>G1807-F1807</f>
        <v>148200</v>
      </c>
      <c r="I1807" s="52">
        <f>H1807/G1807</f>
        <v>0.6</v>
      </c>
      <c r="J1807" s="53" t="n"/>
      <c r="K1807" s="54" t="n"/>
    </row>
    <row r="1808">
      <c r="A1808" s="39" t="inlineStr">
        <is>
          <t>Versace</t>
        </is>
      </c>
      <c r="B1808" s="47" t="inlineStr">
        <is>
          <t>VERSACE DYLAN BLUE POUR FEMME EDP 100ML FEM</t>
        </is>
      </c>
      <c r="C1808" s="48" t="n">
        <v>100</v>
      </c>
      <c r="D1808" s="49" t="inlineStr">
        <is>
          <t>Diseñador</t>
        </is>
      </c>
      <c r="E1808" s="50" t="n">
        <v>65</v>
      </c>
      <c r="F1808" s="51">
        <f>E1808*$B$5*(1+$B$6)</f>
        <v>84500</v>
      </c>
      <c r="G1808" s="51">
        <f>F1808*$B$7</f>
        <v>211250</v>
      </c>
      <c r="H1808" s="51">
        <f>G1808-F1808</f>
        <v>126750</v>
      </c>
      <c r="I1808" s="52">
        <f>H1808/G1808</f>
        <v>0.6</v>
      </c>
      <c r="J1808" s="53" t="n"/>
      <c r="K1808" s="54" t="n"/>
    </row>
    <row r="1809">
      <c r="A1809" s="39" t="inlineStr">
        <is>
          <t>Versace</t>
        </is>
      </c>
      <c r="B1809" s="47" t="inlineStr">
        <is>
          <t>VERSACE DYLAN TURQUOISE POUR FEMME EDT 100ML FEM</t>
        </is>
      </c>
      <c r="C1809" s="48" t="n">
        <v>100</v>
      </c>
      <c r="D1809" s="49" t="inlineStr">
        <is>
          <t>Diseñador</t>
        </is>
      </c>
      <c r="E1809" s="50" t="n">
        <v>66</v>
      </c>
      <c r="F1809" s="51">
        <f>E1809*$B$5*(1+$B$6)</f>
        <v>85800</v>
      </c>
      <c r="G1809" s="51">
        <f>F1809*$B$7</f>
        <v>214500</v>
      </c>
      <c r="H1809" s="51">
        <f>G1809-F1809</f>
        <v>128700</v>
      </c>
      <c r="I1809" s="52">
        <f>H1809/G1809</f>
        <v>0.6</v>
      </c>
      <c r="J1809" s="53" t="n"/>
      <c r="K1809" s="54" t="n"/>
    </row>
    <row r="1810">
      <c r="A1810" s="39" t="inlineStr">
        <is>
          <t>Versace</t>
        </is>
      </c>
      <c r="B1810" s="47" t="inlineStr">
        <is>
          <t>VERSACE EROS EDP 100ML MASC</t>
        </is>
      </c>
      <c r="C1810" s="48" t="n">
        <v>100</v>
      </c>
      <c r="D1810" s="49" t="inlineStr">
        <is>
          <t>Diseñador</t>
        </is>
      </c>
      <c r="E1810" s="50" t="n">
        <v>66</v>
      </c>
      <c r="F1810" s="51">
        <f>E1810*$B$5*(1+$B$6)</f>
        <v>85800</v>
      </c>
      <c r="G1810" s="51">
        <f>F1810*$B$7</f>
        <v>214500</v>
      </c>
      <c r="H1810" s="51">
        <f>G1810-F1810</f>
        <v>128700</v>
      </c>
      <c r="I1810" s="52">
        <f>H1810/G1810</f>
        <v>0.6</v>
      </c>
      <c r="J1810" s="53" t="n"/>
      <c r="K1810" s="54" t="n"/>
    </row>
    <row r="1811">
      <c r="A1811" s="39" t="inlineStr">
        <is>
          <t>Versace</t>
        </is>
      </c>
      <c r="B1811" s="47" t="inlineStr">
        <is>
          <t>VERSACE EROS EDT 100ML MASC</t>
        </is>
      </c>
      <c r="C1811" s="48" t="n">
        <v>100</v>
      </c>
      <c r="D1811" s="49" t="inlineStr">
        <is>
          <t>Diseñador</t>
        </is>
      </c>
      <c r="E1811" s="50" t="n">
        <v>58.9</v>
      </c>
      <c r="F1811" s="51">
        <f>E1811*$B$5*(1+$B$6)</f>
        <v>76570</v>
      </c>
      <c r="G1811" s="51">
        <f>F1811*$B$7</f>
        <v>191425</v>
      </c>
      <c r="H1811" s="51">
        <f>G1811-F1811</f>
        <v>114855</v>
      </c>
      <c r="I1811" s="52">
        <f>H1811/G1811</f>
        <v>0.6</v>
      </c>
      <c r="J1811" s="53" t="n"/>
      <c r="K1811" s="54" t="n"/>
    </row>
    <row r="1812">
      <c r="A1812" s="39" t="inlineStr">
        <is>
          <t>Versace</t>
        </is>
      </c>
      <c r="B1812" s="47" t="inlineStr">
        <is>
          <t>VERSACE EROS EDT 200ML MASC</t>
        </is>
      </c>
      <c r="C1812" s="48" t="n">
        <v>200</v>
      </c>
      <c r="D1812" s="49" t="inlineStr">
        <is>
          <t>Diseñador</t>
        </is>
      </c>
      <c r="E1812" s="50" t="n">
        <v>73</v>
      </c>
      <c r="F1812" s="51">
        <f>E1812*$B$5*(1+$B$6)</f>
        <v>94900</v>
      </c>
      <c r="G1812" s="51">
        <f>F1812*$B$7</f>
        <v>237250</v>
      </c>
      <c r="H1812" s="51">
        <f>G1812-F1812</f>
        <v>142350</v>
      </c>
      <c r="I1812" s="52">
        <f>H1812/G1812</f>
        <v>0.6</v>
      </c>
      <c r="J1812" s="53" t="n"/>
      <c r="K1812" s="54" t="n"/>
    </row>
    <row r="1813">
      <c r="A1813" s="39" t="inlineStr">
        <is>
          <t>Versace</t>
        </is>
      </c>
      <c r="B1813" s="47" t="inlineStr">
        <is>
          <t>VERSACE EROS ENERGY POUR HOMME EDP 100ML MASC</t>
        </is>
      </c>
      <c r="C1813" s="48" t="n">
        <v>100</v>
      </c>
      <c r="D1813" s="49" t="inlineStr">
        <is>
          <t>Diseñador</t>
        </is>
      </c>
      <c r="E1813" s="50" t="n">
        <v>63</v>
      </c>
      <c r="F1813" s="51">
        <f>E1813*$B$5*(1+$B$6)</f>
        <v>81900</v>
      </c>
      <c r="G1813" s="51">
        <f>F1813*$B$7</f>
        <v>204750</v>
      </c>
      <c r="H1813" s="51">
        <f>G1813-F1813</f>
        <v>122850</v>
      </c>
      <c r="I1813" s="52">
        <f>H1813/G1813</f>
        <v>0.6</v>
      </c>
      <c r="J1813" s="53" t="n"/>
      <c r="K1813" s="54" t="n"/>
    </row>
    <row r="1814">
      <c r="A1814" s="39" t="inlineStr">
        <is>
          <t>Versace</t>
        </is>
      </c>
      <c r="B1814" s="47" t="inlineStr">
        <is>
          <t>VERSACE EROS FLAME EDP 100ML MASC</t>
        </is>
      </c>
      <c r="C1814" s="48" t="n">
        <v>100</v>
      </c>
      <c r="D1814" s="49" t="inlineStr">
        <is>
          <t>Diseñador</t>
        </is>
      </c>
      <c r="E1814" s="50" t="n">
        <v>66</v>
      </c>
      <c r="F1814" s="51">
        <f>E1814*$B$5*(1+$B$6)</f>
        <v>85800</v>
      </c>
      <c r="G1814" s="51">
        <f>F1814*$B$7</f>
        <v>214500</v>
      </c>
      <c r="H1814" s="51">
        <f>G1814-F1814</f>
        <v>128700</v>
      </c>
      <c r="I1814" s="52">
        <f>H1814/G1814</f>
        <v>0.6</v>
      </c>
      <c r="J1814" s="53" t="n"/>
      <c r="K1814" s="54" t="n"/>
    </row>
    <row r="1815">
      <c r="A1815" s="39" t="inlineStr">
        <is>
          <t>Versace</t>
        </is>
      </c>
      <c r="B1815" s="47" t="inlineStr">
        <is>
          <t>VERSACE EROS NAJIM POUR HOMME PARFUM 100ML</t>
        </is>
      </c>
      <c r="C1815" s="48" t="n">
        <v>100</v>
      </c>
      <c r="D1815" s="49" t="inlineStr">
        <is>
          <t>Diseñador</t>
        </is>
      </c>
      <c r="E1815" s="50" t="n">
        <v>77</v>
      </c>
      <c r="F1815" s="51">
        <f>E1815*$B$5*(1+$B$6)</f>
        <v>100100</v>
      </c>
      <c r="G1815" s="51">
        <f>F1815*$B$7</f>
        <v>250250</v>
      </c>
      <c r="H1815" s="51">
        <f>G1815-F1815</f>
        <v>150150</v>
      </c>
      <c r="I1815" s="52">
        <f>H1815/G1815</f>
        <v>0.6</v>
      </c>
      <c r="J1815" s="53" t="n"/>
      <c r="K1815" s="54" t="n"/>
    </row>
    <row r="1816">
      <c r="A1816" s="39" t="inlineStr">
        <is>
          <t>Versace</t>
        </is>
      </c>
      <c r="B1816" s="47" t="inlineStr">
        <is>
          <t>VERSACE EROS PARFUM 200ML MASC</t>
        </is>
      </c>
      <c r="C1816" s="48" t="n">
        <v>200</v>
      </c>
      <c r="D1816" s="49" t="inlineStr">
        <is>
          <t>Diseñador</t>
        </is>
      </c>
      <c r="E1816" s="50" t="n">
        <v>98</v>
      </c>
      <c r="F1816" s="51">
        <f>E1816*$B$5*(1+$B$6)</f>
        <v>127400</v>
      </c>
      <c r="G1816" s="51">
        <f>F1816*$B$7</f>
        <v>318500</v>
      </c>
      <c r="H1816" s="51">
        <f>G1816-F1816</f>
        <v>191100</v>
      </c>
      <c r="I1816" s="52">
        <f>H1816/G1816</f>
        <v>0.6</v>
      </c>
      <c r="J1816" s="53" t="n"/>
      <c r="K1816" s="54" t="n"/>
    </row>
    <row r="1817">
      <c r="A1817" s="39" t="inlineStr">
        <is>
          <t>Versace</t>
        </is>
      </c>
      <c r="B1817" s="47" t="inlineStr">
        <is>
          <t>VERSACE EROS POUR FEMME EDP 100ML FEMININO</t>
        </is>
      </c>
      <c r="C1817" s="48" t="n">
        <v>100</v>
      </c>
      <c r="D1817" s="49" t="inlineStr">
        <is>
          <t>Diseñador</t>
        </is>
      </c>
      <c r="E1817" s="50" t="n">
        <v>65</v>
      </c>
      <c r="F1817" s="51">
        <f>E1817*$B$5*(1+$B$6)</f>
        <v>84500</v>
      </c>
      <c r="G1817" s="51">
        <f>F1817*$B$7</f>
        <v>211250</v>
      </c>
      <c r="H1817" s="51">
        <f>G1817-F1817</f>
        <v>126750</v>
      </c>
      <c r="I1817" s="52">
        <f>H1817/G1817</f>
        <v>0.6</v>
      </c>
      <c r="J1817" s="53" t="n"/>
      <c r="K1817" s="54" t="n"/>
    </row>
    <row r="1818">
      <c r="A1818" s="39" t="inlineStr">
        <is>
          <t>Versace</t>
        </is>
      </c>
      <c r="B1818" s="47" t="inlineStr">
        <is>
          <t>VERSACE EROS POUR FEMME EDT 100ML FEMININO</t>
        </is>
      </c>
      <c r="C1818" s="48" t="n">
        <v>100</v>
      </c>
      <c r="D1818" s="49" t="inlineStr">
        <is>
          <t>Diseñador</t>
        </is>
      </c>
      <c r="E1818" s="50" t="n">
        <v>55</v>
      </c>
      <c r="F1818" s="51">
        <f>E1818*$B$5*(1+$B$6)</f>
        <v>71500</v>
      </c>
      <c r="G1818" s="51">
        <f>F1818*$B$7</f>
        <v>178750</v>
      </c>
      <c r="H1818" s="51">
        <f>G1818-F1818</f>
        <v>107250</v>
      </c>
      <c r="I1818" s="52">
        <f>H1818/G1818</f>
        <v>0.6</v>
      </c>
      <c r="J1818" s="53" t="n"/>
      <c r="K1818" s="54" t="n"/>
    </row>
    <row r="1819">
      <c r="A1819" s="39" t="inlineStr">
        <is>
          <t>Versace</t>
        </is>
      </c>
      <c r="B1819" s="47" t="inlineStr">
        <is>
          <t>VERSACE EROS POUR HOMME PARFUM 100ML MASC</t>
        </is>
      </c>
      <c r="C1819" s="48" t="n">
        <v>100</v>
      </c>
      <c r="D1819" s="49" t="inlineStr">
        <is>
          <t>Diseñador</t>
        </is>
      </c>
      <c r="E1819" s="50" t="n">
        <v>75</v>
      </c>
      <c r="F1819" s="51">
        <f>E1819*$B$5*(1+$B$6)</f>
        <v>97500</v>
      </c>
      <c r="G1819" s="51">
        <f>F1819*$B$7</f>
        <v>243750</v>
      </c>
      <c r="H1819" s="51">
        <f>G1819-F1819</f>
        <v>146250</v>
      </c>
      <c r="I1819" s="52">
        <f>H1819/G1819</f>
        <v>0.6</v>
      </c>
      <c r="J1819" s="53" t="n"/>
      <c r="K1819" s="54" t="n"/>
    </row>
    <row r="1820">
      <c r="A1820" s="39" t="inlineStr">
        <is>
          <t>Versace</t>
        </is>
      </c>
      <c r="B1820" s="47" t="inlineStr">
        <is>
          <t>VERSACE L HOMME EDT 100ML MASC</t>
        </is>
      </c>
      <c r="C1820" s="48" t="n">
        <v>100</v>
      </c>
      <c r="D1820" s="49" t="inlineStr">
        <is>
          <t>Diseñador</t>
        </is>
      </c>
      <c r="E1820" s="50" t="n">
        <v>32</v>
      </c>
      <c r="F1820" s="51">
        <f>E1820*$B$5*(1+$B$6)</f>
        <v>41600</v>
      </c>
      <c r="G1820" s="51">
        <f>F1820*$B$7</f>
        <v>104000</v>
      </c>
      <c r="H1820" s="51">
        <f>G1820-F1820</f>
        <v>62400</v>
      </c>
      <c r="I1820" s="52">
        <f>H1820/G1820</f>
        <v>0.6</v>
      </c>
      <c r="J1820" s="53" t="n"/>
      <c r="K1820" s="54" t="n"/>
    </row>
    <row r="1821">
      <c r="A1821" s="39" t="inlineStr">
        <is>
          <t>Versace</t>
        </is>
      </c>
      <c r="B1821" s="47" t="inlineStr">
        <is>
          <t>VERSACE MAN EAU FRAICHE EDT 200ML MASC</t>
        </is>
      </c>
      <c r="C1821" s="48" t="n">
        <v>200</v>
      </c>
      <c r="D1821" s="49" t="inlineStr">
        <is>
          <t>Diseñador</t>
        </is>
      </c>
      <c r="E1821" s="50" t="n">
        <v>70.59999999999999</v>
      </c>
      <c r="F1821" s="51">
        <f>E1821*$B$5*(1+$B$6)</f>
        <v>91780</v>
      </c>
      <c r="G1821" s="51">
        <f>F1821*$B$7</f>
        <v>229450</v>
      </c>
      <c r="H1821" s="51">
        <f>G1821-F1821</f>
        <v>137670</v>
      </c>
      <c r="I1821" s="52">
        <f>H1821/G1821</f>
        <v>0.6</v>
      </c>
      <c r="J1821" s="53" t="n"/>
      <c r="K1821" s="54" t="n"/>
    </row>
    <row r="1822">
      <c r="A1822" s="39" t="inlineStr">
        <is>
          <t>Versace</t>
        </is>
      </c>
      <c r="B1822" s="47" t="inlineStr">
        <is>
          <t>VERSACE POUR HOMME EDT 100ML MASC</t>
        </is>
      </c>
      <c r="C1822" s="48" t="n">
        <v>100</v>
      </c>
      <c r="D1822" s="49" t="inlineStr">
        <is>
          <t>Diseñador</t>
        </is>
      </c>
      <c r="E1822" s="50" t="n">
        <v>47.5</v>
      </c>
      <c r="F1822" s="51">
        <f>E1822*$B$5*(1+$B$6)</f>
        <v>61750</v>
      </c>
      <c r="G1822" s="51">
        <f>F1822*$B$7</f>
        <v>154375</v>
      </c>
      <c r="H1822" s="51">
        <f>G1822-F1822</f>
        <v>92625</v>
      </c>
      <c r="I1822" s="52">
        <f>H1822/G1822</f>
        <v>0.6</v>
      </c>
      <c r="J1822" s="53" t="n"/>
      <c r="K1822" s="54" t="n"/>
    </row>
    <row r="1823">
      <c r="A1823" s="39" t="inlineStr">
        <is>
          <t>Versace</t>
        </is>
      </c>
      <c r="B1823" s="47" t="inlineStr">
        <is>
          <t>VERSACE POUR HOMME EDT 50ML MASC</t>
        </is>
      </c>
      <c r="C1823" s="48" t="n">
        <v>50</v>
      </c>
      <c r="D1823" s="49" t="inlineStr">
        <is>
          <t>Diseñador</t>
        </is>
      </c>
      <c r="E1823" s="50" t="n">
        <v>38</v>
      </c>
      <c r="F1823" s="51">
        <f>E1823*$B$5*(1+$B$6)</f>
        <v>49400</v>
      </c>
      <c r="G1823" s="51">
        <f>F1823*$B$7</f>
        <v>123500</v>
      </c>
      <c r="H1823" s="51">
        <f>G1823-F1823</f>
        <v>74100</v>
      </c>
      <c r="I1823" s="52">
        <f>H1823/G1823</f>
        <v>0.6</v>
      </c>
      <c r="J1823" s="53" t="n"/>
      <c r="K1823" s="54" t="n"/>
    </row>
    <row r="1824">
      <c r="A1824" s="39" t="inlineStr">
        <is>
          <t>Versace</t>
        </is>
      </c>
      <c r="B1824" s="47" t="inlineStr">
        <is>
          <t>VERSACE POUR HOMME OUD NOIR EDP 100ML</t>
        </is>
      </c>
      <c r="C1824" s="48" t="n">
        <v>100</v>
      </c>
      <c r="D1824" s="49" t="inlineStr">
        <is>
          <t>Diseñador</t>
        </is>
      </c>
      <c r="E1824" s="50" t="n">
        <v>70</v>
      </c>
      <c r="F1824" s="51">
        <f>E1824*$B$5*(1+$B$6)</f>
        <v>91000</v>
      </c>
      <c r="G1824" s="51">
        <f>F1824*$B$7</f>
        <v>227500</v>
      </c>
      <c r="H1824" s="51">
        <f>G1824-F1824</f>
        <v>136500</v>
      </c>
      <c r="I1824" s="52">
        <f>H1824/G1824</f>
        <v>0.6</v>
      </c>
      <c r="J1824" s="53" t="n"/>
      <c r="K1824" s="54" t="n"/>
    </row>
    <row r="1825">
      <c r="A1825" s="39" t="inlineStr">
        <is>
          <t>Versace</t>
        </is>
      </c>
      <c r="B1825" s="47" t="inlineStr">
        <is>
          <t>VERSACE THE DREAMER EDT 100ML MASC</t>
        </is>
      </c>
      <c r="C1825" s="48" t="n">
        <v>100</v>
      </c>
      <c r="D1825" s="49" t="inlineStr">
        <is>
          <t>Diseñador</t>
        </is>
      </c>
      <c r="E1825" s="50" t="n">
        <v>36</v>
      </c>
      <c r="F1825" s="51">
        <f>E1825*$B$5*(1+$B$6)</f>
        <v>46800</v>
      </c>
      <c r="G1825" s="51">
        <f>F1825*$B$7</f>
        <v>117000</v>
      </c>
      <c r="H1825" s="51">
        <f>G1825-F1825</f>
        <v>70200</v>
      </c>
      <c r="I1825" s="52">
        <f>H1825/G1825</f>
        <v>0.6</v>
      </c>
      <c r="J1825" s="53" t="n"/>
      <c r="K1825" s="54" t="n"/>
    </row>
    <row r="1826">
      <c r="A1826" s="39" t="inlineStr">
        <is>
          <t>Versace</t>
        </is>
      </c>
      <c r="B1826" s="47" t="inlineStr">
        <is>
          <t>VERSACE THE DREAMER EDT 50ML MASC</t>
        </is>
      </c>
      <c r="C1826" s="48" t="n">
        <v>50</v>
      </c>
      <c r="D1826" s="49" t="inlineStr">
        <is>
          <t>Diseñador</t>
        </is>
      </c>
      <c r="E1826" s="50" t="n">
        <v>25</v>
      </c>
      <c r="F1826" s="51">
        <f>E1826*$B$5*(1+$B$6)</f>
        <v>32500</v>
      </c>
      <c r="G1826" s="51">
        <f>F1826*$B$7</f>
        <v>81250</v>
      </c>
      <c r="H1826" s="51">
        <f>G1826-F1826</f>
        <v>48750</v>
      </c>
      <c r="I1826" s="52">
        <f>H1826/G1826</f>
        <v>0.6</v>
      </c>
      <c r="J1826" s="53" t="n"/>
      <c r="K1826" s="54" t="n"/>
    </row>
    <row r="1827">
      <c r="A1827" s="39" t="inlineStr">
        <is>
          <t>Versace</t>
        </is>
      </c>
      <c r="B1827" s="47" t="inlineStr">
        <is>
          <t>VERSACE YELLOW DIAMOND INTENSE EDP 90ML (AZUL)</t>
        </is>
      </c>
      <c r="C1827" s="48" t="n">
        <v>90</v>
      </c>
      <c r="D1827" s="49" t="inlineStr">
        <is>
          <t>Diseñador</t>
        </is>
      </c>
      <c r="E1827" s="50" t="n">
        <v>58</v>
      </c>
      <c r="F1827" s="51">
        <f>E1827*$B$5*(1+$B$6)</f>
        <v>75400</v>
      </c>
      <c r="G1827" s="51">
        <f>F1827*$B$7</f>
        <v>188500</v>
      </c>
      <c r="H1827" s="51">
        <f>G1827-F1827</f>
        <v>113100</v>
      </c>
      <c r="I1827" s="52">
        <f>H1827/G1827</f>
        <v>0.6</v>
      </c>
      <c r="J1827" s="53" t="n"/>
      <c r="K1827" s="54" t="n"/>
    </row>
    <row r="1828">
      <c r="A1828" s="39" t="inlineStr">
        <is>
          <t>Viktor &amp; Rolf</t>
        </is>
      </c>
      <c r="B1828" s="47" t="inlineStr">
        <is>
          <t>Flowerbomb EDP (fem)</t>
        </is>
      </c>
      <c r="C1828" s="48" t="n">
        <v>100</v>
      </c>
      <c r="D1828" s="49" t="inlineStr">
        <is>
          <t>Diseñador</t>
        </is>
      </c>
      <c r="E1828" s="50" t="n">
        <v>69</v>
      </c>
      <c r="F1828" s="51">
        <f>E1828*$B$5*(1+$B$6)</f>
        <v>89700</v>
      </c>
      <c r="G1828" s="51">
        <f>F1828*$B$7</f>
        <v>224250</v>
      </c>
      <c r="H1828" s="51">
        <f>G1828-F1828</f>
        <v>134550</v>
      </c>
      <c r="I1828" s="52">
        <f>H1828/G1828</f>
        <v>0.6</v>
      </c>
      <c r="J1828" s="53" t="n"/>
      <c r="K1828" s="54" t="inlineStr">
        <is>
          <t>Clásico fem muy buscado</t>
        </is>
      </c>
    </row>
    <row r="1829">
      <c r="A1829" s="39" t="inlineStr">
        <is>
          <t>Viktor &amp; Rolf</t>
        </is>
      </c>
      <c r="B1829" s="47" t="inlineStr">
        <is>
          <t>Spicebomb EDT</t>
        </is>
      </c>
      <c r="C1829" s="48" t="n">
        <v>90</v>
      </c>
      <c r="D1829" s="49" t="inlineStr">
        <is>
          <t>Diseñador</t>
        </is>
      </c>
      <c r="E1829" s="50" t="n">
        <v>54</v>
      </c>
      <c r="F1829" s="51">
        <f>E1829*$B$5*(1+$B$6)</f>
        <v>70200</v>
      </c>
      <c r="G1829" s="51">
        <f>F1829*$B$7</f>
        <v>175500</v>
      </c>
      <c r="H1829" s="51">
        <f>G1829-F1829</f>
        <v>105300</v>
      </c>
      <c r="I1829" s="52">
        <f>H1829/G1829</f>
        <v>0.6</v>
      </c>
      <c r="J1829" s="53" t="n"/>
      <c r="K1829" s="54" t="n"/>
    </row>
    <row r="1830">
      <c r="A1830" s="39" t="inlineStr">
        <is>
          <t>Viktor &amp; Rolf</t>
        </is>
      </c>
      <c r="B1830" s="47" t="inlineStr">
        <is>
          <t>VIKTOR&amp;ROLF FLOWERBOMB DEW EDP 100ML</t>
        </is>
      </c>
      <c r="C1830" s="48" t="n">
        <v>100</v>
      </c>
      <c r="D1830" s="49" t="inlineStr">
        <is>
          <t>Diseñador</t>
        </is>
      </c>
      <c r="E1830" s="50" t="n">
        <v>92</v>
      </c>
      <c r="F1830" s="51">
        <f>E1830*$B$5*(1+$B$6)</f>
        <v>119600</v>
      </c>
      <c r="G1830" s="51">
        <f>F1830*$B$7</f>
        <v>299000</v>
      </c>
      <c r="H1830" s="51">
        <f>G1830-F1830</f>
        <v>179400</v>
      </c>
      <c r="I1830" s="52">
        <f>H1830/G1830</f>
        <v>0.6</v>
      </c>
      <c r="J1830" s="53" t="n"/>
      <c r="K1830" s="54" t="n"/>
    </row>
    <row r="1831">
      <c r="A1831" s="39" t="inlineStr">
        <is>
          <t>Viktor &amp; Rolf</t>
        </is>
      </c>
      <c r="B1831" s="47" t="inlineStr">
        <is>
          <t>VIKTOR&amp;ROLF FLOWERBOMB MIDNIGHT EDP 100ML</t>
        </is>
      </c>
      <c r="C1831" s="48" t="n">
        <v>100</v>
      </c>
      <c r="D1831" s="49" t="inlineStr">
        <is>
          <t>Diseñador</t>
        </is>
      </c>
      <c r="E1831" s="50" t="n">
        <v>86</v>
      </c>
      <c r="F1831" s="51">
        <f>E1831*$B$5*(1+$B$6)</f>
        <v>111800</v>
      </c>
      <c r="G1831" s="51">
        <f>F1831*$B$7</f>
        <v>279500</v>
      </c>
      <c r="H1831" s="51">
        <f>G1831-F1831</f>
        <v>167700</v>
      </c>
      <c r="I1831" s="52">
        <f>H1831/G1831</f>
        <v>0.6</v>
      </c>
      <c r="J1831" s="53" t="n"/>
      <c r="K1831" s="54" t="n"/>
    </row>
    <row r="1832">
      <c r="A1832" s="39" t="inlineStr">
        <is>
          <t>Viktor &amp; Rolf</t>
        </is>
      </c>
      <c r="B1832" s="47" t="inlineStr">
        <is>
          <t>VIKTOR&amp;ROLF FLOWERBOMB ORCHID EDP 100ML</t>
        </is>
      </c>
      <c r="C1832" s="48" t="n">
        <v>100</v>
      </c>
      <c r="D1832" s="49" t="inlineStr">
        <is>
          <t>Diseñador</t>
        </is>
      </c>
      <c r="E1832" s="50" t="n">
        <v>71.5</v>
      </c>
      <c r="F1832" s="51">
        <f>E1832*$B$5*(1+$B$6)</f>
        <v>92950</v>
      </c>
      <c r="G1832" s="51">
        <f>F1832*$B$7</f>
        <v>232375</v>
      </c>
      <c r="H1832" s="51">
        <f>G1832-F1832</f>
        <v>139425</v>
      </c>
      <c r="I1832" s="52">
        <f>H1832/G1832</f>
        <v>0.6</v>
      </c>
      <c r="J1832" s="53" t="n"/>
      <c r="K1832" s="54" t="n"/>
    </row>
    <row r="1833">
      <c r="A1833" s="39" t="inlineStr">
        <is>
          <t>Viktor &amp; Rolf</t>
        </is>
      </c>
      <c r="B1833" s="47" t="inlineStr">
        <is>
          <t>VIKTOR&amp;ROLF GOOD FORTUNE EDP 90ML FEM</t>
        </is>
      </c>
      <c r="C1833" s="48" t="n">
        <v>90</v>
      </c>
      <c r="D1833" s="49" t="inlineStr">
        <is>
          <t>Diseñador</t>
        </is>
      </c>
      <c r="E1833" s="50" t="n">
        <v>69</v>
      </c>
      <c r="F1833" s="51">
        <f>E1833*$B$5*(1+$B$6)</f>
        <v>89700</v>
      </c>
      <c r="G1833" s="51">
        <f>F1833*$B$7</f>
        <v>224250</v>
      </c>
      <c r="H1833" s="51">
        <f>G1833-F1833</f>
        <v>134550</v>
      </c>
      <c r="I1833" s="52">
        <f>H1833/G1833</f>
        <v>0.6</v>
      </c>
      <c r="J1833" s="53" t="n"/>
      <c r="K1833" s="54" t="n"/>
    </row>
    <row r="1834">
      <c r="A1834" s="39" t="inlineStr">
        <is>
          <t>Viktor &amp; Rolf</t>
        </is>
      </c>
      <c r="B1834" s="47" t="inlineStr">
        <is>
          <t>VIKTOR&amp;ROLF GOOD FORTUNE ELIXIR INTENSE 90ML</t>
        </is>
      </c>
      <c r="C1834" s="48" t="n">
        <v>90</v>
      </c>
      <c r="D1834" s="49" t="inlineStr">
        <is>
          <t>Diseñador</t>
        </is>
      </c>
      <c r="E1834" s="50" t="n">
        <v>75</v>
      </c>
      <c r="F1834" s="51">
        <f>E1834*$B$5*(1+$B$6)</f>
        <v>97500</v>
      </c>
      <c r="G1834" s="51">
        <f>F1834*$B$7</f>
        <v>243750</v>
      </c>
      <c r="H1834" s="51">
        <f>G1834-F1834</f>
        <v>146250</v>
      </c>
      <c r="I1834" s="52">
        <f>H1834/G1834</f>
        <v>0.6</v>
      </c>
      <c r="J1834" s="53" t="n"/>
      <c r="K1834" s="54" t="n"/>
    </row>
    <row r="1835">
      <c r="A1835" s="39" t="inlineStr">
        <is>
          <t>Viktor &amp; Rolf</t>
        </is>
      </c>
      <c r="B1835" s="47" t="inlineStr">
        <is>
          <t>VIKTOR&amp;ROLF SPICEBOMB DARK LEATHER EDP 90ML</t>
        </is>
      </c>
      <c r="C1835" s="48" t="n">
        <v>90</v>
      </c>
      <c r="D1835" s="49" t="inlineStr">
        <is>
          <t>Diseñador</t>
        </is>
      </c>
      <c r="E1835" s="50" t="n">
        <v>82</v>
      </c>
      <c r="F1835" s="51">
        <f>E1835*$B$5*(1+$B$6)</f>
        <v>106600</v>
      </c>
      <c r="G1835" s="51">
        <f>F1835*$B$7</f>
        <v>266500</v>
      </c>
      <c r="H1835" s="51">
        <f>G1835-F1835</f>
        <v>159900</v>
      </c>
      <c r="I1835" s="52">
        <f>H1835/G1835</f>
        <v>0.6</v>
      </c>
      <c r="J1835" s="53" t="n"/>
      <c r="K1835" s="54" t="n"/>
    </row>
    <row r="1836">
      <c r="A1836" s="39" t="inlineStr">
        <is>
          <t>Viktor &amp; Rolf</t>
        </is>
      </c>
      <c r="B1836" s="47" t="inlineStr">
        <is>
          <t>VIKTOR&amp;ROLF SPICEBOMB EDT 50ML MASC</t>
        </is>
      </c>
      <c r="C1836" s="48" t="n">
        <v>50</v>
      </c>
      <c r="D1836" s="49" t="inlineStr">
        <is>
          <t>Diseñador</t>
        </is>
      </c>
      <c r="E1836" s="50" t="n">
        <v>65</v>
      </c>
      <c r="F1836" s="51">
        <f>E1836*$B$5*(1+$B$6)</f>
        <v>84500</v>
      </c>
      <c r="G1836" s="51">
        <f>F1836*$B$7</f>
        <v>211250</v>
      </c>
      <c r="H1836" s="51">
        <f>G1836-F1836</f>
        <v>126750</v>
      </c>
      <c r="I1836" s="52">
        <f>H1836/G1836</f>
        <v>0.6</v>
      </c>
      <c r="J1836" s="53" t="n"/>
      <c r="K1836" s="54" t="n"/>
    </row>
    <row r="1837">
      <c r="A1837" s="39" t="inlineStr">
        <is>
          <t>Viktor &amp; Rolf</t>
        </is>
      </c>
      <c r="B1837" s="47" t="inlineStr">
        <is>
          <t>VIKTOR&amp;ROLF SPICEBOMB EXTREME EDP 90ML MASC</t>
        </is>
      </c>
      <c r="C1837" s="48" t="n">
        <v>90</v>
      </c>
      <c r="D1837" s="49" t="inlineStr">
        <is>
          <t>Diseñador</t>
        </is>
      </c>
      <c r="E1837" s="50" t="n">
        <v>76</v>
      </c>
      <c r="F1837" s="51">
        <f>E1837*$B$5*(1+$B$6)</f>
        <v>98800</v>
      </c>
      <c r="G1837" s="51">
        <f>F1837*$B$7</f>
        <v>247000</v>
      </c>
      <c r="H1837" s="51">
        <f>G1837-F1837</f>
        <v>148200</v>
      </c>
      <c r="I1837" s="52">
        <f>H1837/G1837</f>
        <v>0.6</v>
      </c>
      <c r="J1837" s="53" t="n"/>
      <c r="K1837" s="54" t="n"/>
    </row>
    <row r="1838">
      <c r="A1838" s="39" t="inlineStr">
        <is>
          <t>Xerjoff</t>
        </is>
      </c>
      <c r="B1838" s="47" t="inlineStr">
        <is>
          <t>Alexandria II Parfum — TESTER</t>
        </is>
      </c>
      <c r="C1838" s="48" t="n">
        <v>100</v>
      </c>
      <c r="D1838" s="49" t="inlineStr">
        <is>
          <t>Tester</t>
        </is>
      </c>
      <c r="E1838" s="50" t="n">
        <v>190</v>
      </c>
      <c r="F1838" s="51">
        <f>E1838*$B$5*(1+$B$6)</f>
        <v>247000</v>
      </c>
      <c r="G1838" s="51">
        <f>F1838*$B$7</f>
        <v>617500</v>
      </c>
      <c r="H1838" s="51">
        <f>G1838-F1838</f>
        <v>370500</v>
      </c>
      <c r="I1838" s="52">
        <f>H1838/G1838</f>
        <v>0.6</v>
      </c>
      <c r="J1838" s="53" t="n"/>
      <c r="K1838" s="54" t="inlineStr">
        <is>
          <t>Nicho premium</t>
        </is>
      </c>
    </row>
    <row r="1839">
      <c r="A1839" s="39" t="inlineStr">
        <is>
          <t>Xerjoff</t>
        </is>
      </c>
      <c r="B1839" s="47" t="inlineStr">
        <is>
          <t>Fatal Charme EDP — TESTER</t>
        </is>
      </c>
      <c r="C1839" s="48" t="n">
        <v>50</v>
      </c>
      <c r="D1839" s="49" t="inlineStr">
        <is>
          <t>Tester</t>
        </is>
      </c>
      <c r="E1839" s="50" t="n">
        <v>155</v>
      </c>
      <c r="F1839" s="51">
        <f>E1839*$B$5*(1+$B$6)</f>
        <v>201500</v>
      </c>
      <c r="G1839" s="51">
        <f>F1839*$B$7</f>
        <v>503750</v>
      </c>
      <c r="H1839" s="51">
        <f>G1839-F1839</f>
        <v>302250</v>
      </c>
      <c r="I1839" s="52">
        <f>H1839/G1839</f>
        <v>0.6</v>
      </c>
      <c r="J1839" s="53" t="n"/>
      <c r="K1839" s="54" t="inlineStr">
        <is>
          <t>Nicho premium</t>
        </is>
      </c>
    </row>
    <row r="1840">
      <c r="A1840" s="39" t="inlineStr">
        <is>
          <t>Xerjoff</t>
        </is>
      </c>
      <c r="B1840" s="47" t="inlineStr">
        <is>
          <t>Naxos EDP — TESTER</t>
        </is>
      </c>
      <c r="C1840" s="48" t="n">
        <v>100</v>
      </c>
      <c r="D1840" s="49" t="inlineStr">
        <is>
          <t>Tester</t>
        </is>
      </c>
      <c r="E1840" s="50" t="n">
        <v>152</v>
      </c>
      <c r="F1840" s="51">
        <f>E1840*$B$5*(1+$B$6)</f>
        <v>197600</v>
      </c>
      <c r="G1840" s="51">
        <f>F1840*$B$7</f>
        <v>494000</v>
      </c>
      <c r="H1840" s="51">
        <f>G1840-F1840</f>
        <v>296400</v>
      </c>
      <c r="I1840" s="52">
        <f>H1840/G1840</f>
        <v>0.6</v>
      </c>
      <c r="J1840" s="53" t="n"/>
      <c r="K1840" s="54" t="inlineStr">
        <is>
          <t>Nicho premium, ticket alto</t>
        </is>
      </c>
    </row>
    <row r="1841">
      <c r="A1841" s="39" t="inlineStr">
        <is>
          <t>Xerjoff</t>
        </is>
      </c>
      <c r="B1841" s="47" t="inlineStr">
        <is>
          <t>TESTER XERJOFF ERBA GOLD EDP 100ML</t>
        </is>
      </c>
      <c r="C1841" s="48" t="n">
        <v>100</v>
      </c>
      <c r="D1841" s="49" t="inlineStr">
        <is>
          <t>Tester</t>
        </is>
      </c>
      <c r="E1841" s="50" t="n">
        <v>150</v>
      </c>
      <c r="F1841" s="51">
        <f>E1841*$B$5*(1+$B$6)</f>
        <v>195000</v>
      </c>
      <c r="G1841" s="51">
        <f>F1841*$B$7</f>
        <v>487500</v>
      </c>
      <c r="H1841" s="51">
        <f>G1841-F1841</f>
        <v>292500</v>
      </c>
      <c r="I1841" s="52">
        <f>H1841/G1841</f>
        <v>0.6</v>
      </c>
      <c r="J1841" s="53" t="n"/>
      <c r="K1841" s="54" t="n"/>
    </row>
    <row r="1842">
      <c r="A1842" s="39" t="inlineStr">
        <is>
          <t>Xerjoff</t>
        </is>
      </c>
      <c r="B1842" s="47" t="inlineStr">
        <is>
          <t>TESTER XERJOFF ERBA PURA EDP 100ML</t>
        </is>
      </c>
      <c r="C1842" s="48" t="n">
        <v>100</v>
      </c>
      <c r="D1842" s="49" t="inlineStr">
        <is>
          <t>Tester</t>
        </is>
      </c>
      <c r="E1842" s="50" t="n">
        <v>138</v>
      </c>
      <c r="F1842" s="51">
        <f>E1842*$B$5*(1+$B$6)</f>
        <v>179400</v>
      </c>
      <c r="G1842" s="51">
        <f>F1842*$B$7</f>
        <v>448500</v>
      </c>
      <c r="H1842" s="51">
        <f>G1842-F1842</f>
        <v>269100</v>
      </c>
      <c r="I1842" s="52">
        <f>H1842/G1842</f>
        <v>0.6</v>
      </c>
      <c r="J1842" s="53" t="n"/>
      <c r="K1842" s="54" t="n"/>
    </row>
    <row r="1843">
      <c r="A1843" s="39" t="inlineStr">
        <is>
          <t>Xerjoff</t>
        </is>
      </c>
      <c r="B1843" s="47" t="inlineStr">
        <is>
          <t>TESTER XERJOFF SOPRANO EDP 100ML</t>
        </is>
      </c>
      <c r="C1843" s="48" t="n">
        <v>100</v>
      </c>
      <c r="D1843" s="49" t="inlineStr">
        <is>
          <t>Tester</t>
        </is>
      </c>
      <c r="E1843" s="50" t="n">
        <v>150</v>
      </c>
      <c r="F1843" s="51">
        <f>E1843*$B$5*(1+$B$6)</f>
        <v>195000</v>
      </c>
      <c r="G1843" s="51">
        <f>F1843*$B$7</f>
        <v>487500</v>
      </c>
      <c r="H1843" s="51">
        <f>G1843-F1843</f>
        <v>292500</v>
      </c>
      <c r="I1843" s="52">
        <f>H1843/G1843</f>
        <v>0.6</v>
      </c>
      <c r="J1843" s="53" t="n"/>
      <c r="K1843" s="54" t="n"/>
    </row>
    <row r="1844">
      <c r="A1844" s="39" t="inlineStr">
        <is>
          <t>Xerjoff</t>
        </is>
      </c>
      <c r="B1844" s="47" t="inlineStr">
        <is>
          <t>TESTER XERJOFF TORINO 23 EDP 50ML</t>
        </is>
      </c>
      <c r="C1844" s="48" t="n">
        <v>50</v>
      </c>
      <c r="D1844" s="49" t="inlineStr">
        <is>
          <t>Tester</t>
        </is>
      </c>
      <c r="E1844" s="50" t="n">
        <v>180</v>
      </c>
      <c r="F1844" s="51">
        <f>E1844*$B$5*(1+$B$6)</f>
        <v>234000</v>
      </c>
      <c r="G1844" s="51">
        <f>F1844*$B$7</f>
        <v>585000</v>
      </c>
      <c r="H1844" s="51">
        <f>G1844-F1844</f>
        <v>351000</v>
      </c>
      <c r="I1844" s="52">
        <f>H1844/G1844</f>
        <v>0.6</v>
      </c>
      <c r="J1844" s="53" t="n"/>
      <c r="K1844" s="54" t="n"/>
    </row>
    <row r="1845">
      <c r="A1845" s="39" t="inlineStr">
        <is>
          <t>Xerjoff</t>
        </is>
      </c>
      <c r="B1845" s="47" t="inlineStr">
        <is>
          <t>XERJOFF 40 KNOTS EDP 100ML</t>
        </is>
      </c>
      <c r="C1845" s="48" t="n">
        <v>100</v>
      </c>
      <c r="D1845" s="49" t="inlineStr">
        <is>
          <t>Nicho</t>
        </is>
      </c>
      <c r="E1845" s="50" t="n">
        <v>155</v>
      </c>
      <c r="F1845" s="51">
        <f>E1845*$B$5*(1+$B$6)</f>
        <v>201500</v>
      </c>
      <c r="G1845" s="51">
        <f>F1845*$B$7</f>
        <v>503750</v>
      </c>
      <c r="H1845" s="51">
        <f>G1845-F1845</f>
        <v>302250</v>
      </c>
      <c r="I1845" s="52">
        <f>H1845/G1845</f>
        <v>0.6</v>
      </c>
      <c r="J1845" s="53" t="n"/>
      <c r="K1845" s="54" t="n"/>
    </row>
    <row r="1846">
      <c r="A1846" s="39" t="inlineStr">
        <is>
          <t>Xerjoff</t>
        </is>
      </c>
      <c r="B1846" s="47" t="inlineStr">
        <is>
          <t>XERJOFF ACCENTO OVERDOSE EDP 100ML</t>
        </is>
      </c>
      <c r="C1846" s="48" t="n">
        <v>100</v>
      </c>
      <c r="D1846" s="49" t="inlineStr">
        <is>
          <t>Nicho</t>
        </is>
      </c>
      <c r="E1846" s="50" t="n">
        <v>195</v>
      </c>
      <c r="F1846" s="51">
        <f>E1846*$B$5*(1+$B$6)</f>
        <v>253500</v>
      </c>
      <c r="G1846" s="51">
        <f>F1846*$B$7</f>
        <v>633750</v>
      </c>
      <c r="H1846" s="51">
        <f>G1846-F1846</f>
        <v>380250</v>
      </c>
      <c r="I1846" s="52">
        <f>H1846/G1846</f>
        <v>0.6</v>
      </c>
      <c r="J1846" s="53" t="n"/>
      <c r="K1846" s="54" t="n"/>
    </row>
    <row r="1847">
      <c r="A1847" s="39" t="inlineStr">
        <is>
          <t>Xerjoff</t>
        </is>
      </c>
      <c r="B1847" s="47" t="inlineStr">
        <is>
          <t>XERJOFF ALEXANDRIA II ANNIVERSARY PARFUM 100ML</t>
        </is>
      </c>
      <c r="C1847" s="48" t="n">
        <v>100</v>
      </c>
      <c r="D1847" s="49" t="inlineStr">
        <is>
          <t>Nicho</t>
        </is>
      </c>
      <c r="E1847" s="50" t="n">
        <v>300</v>
      </c>
      <c r="F1847" s="51">
        <f>E1847*$B$5*(1+$B$6)</f>
        <v>390000</v>
      </c>
      <c r="G1847" s="51">
        <f>F1847*$B$7</f>
        <v>975000</v>
      </c>
      <c r="H1847" s="51">
        <f>G1847-F1847</f>
        <v>585000</v>
      </c>
      <c r="I1847" s="52">
        <f>H1847/G1847</f>
        <v>0.6</v>
      </c>
      <c r="J1847" s="53" t="n"/>
      <c r="K1847" s="54" t="n"/>
    </row>
    <row r="1848">
      <c r="A1848" s="39" t="inlineStr">
        <is>
          <t>Xerjoff</t>
        </is>
      </c>
      <c r="B1848" s="47" t="inlineStr">
        <is>
          <t>XERJOFF ALEXANDRIA II PARFUM 100ML</t>
        </is>
      </c>
      <c r="C1848" s="48" t="n">
        <v>100</v>
      </c>
      <c r="D1848" s="49" t="inlineStr">
        <is>
          <t>Nicho</t>
        </is>
      </c>
      <c r="E1848" s="50" t="n">
        <v>275</v>
      </c>
      <c r="F1848" s="51">
        <f>E1848*$B$5*(1+$B$6)</f>
        <v>357500</v>
      </c>
      <c r="G1848" s="51">
        <f>F1848*$B$7</f>
        <v>893750</v>
      </c>
      <c r="H1848" s="51">
        <f>G1848-F1848</f>
        <v>536250</v>
      </c>
      <c r="I1848" s="52">
        <f>H1848/G1848</f>
        <v>0.6</v>
      </c>
      <c r="J1848" s="53" t="n"/>
      <c r="K1848" s="54" t="n"/>
    </row>
    <row r="1849">
      <c r="A1849" s="39" t="inlineStr">
        <is>
          <t>Xerjoff</t>
        </is>
      </c>
      <c r="B1849" s="47" t="inlineStr">
        <is>
          <t>XERJOFF CASAMORATI 1888 CASAFUTURA EDP 100ML</t>
        </is>
      </c>
      <c r="C1849" s="48" t="n">
        <v>100</v>
      </c>
      <c r="D1849" s="49" t="inlineStr">
        <is>
          <t>Nicho</t>
        </is>
      </c>
      <c r="E1849" s="50" t="n">
        <v>165</v>
      </c>
      <c r="F1849" s="51">
        <f>E1849*$B$5*(1+$B$6)</f>
        <v>214500</v>
      </c>
      <c r="G1849" s="51">
        <f>F1849*$B$7</f>
        <v>536250</v>
      </c>
      <c r="H1849" s="51">
        <f>G1849-F1849</f>
        <v>321750</v>
      </c>
      <c r="I1849" s="52">
        <f>H1849/G1849</f>
        <v>0.6</v>
      </c>
      <c r="J1849" s="53" t="n"/>
      <c r="K1849" s="54" t="n"/>
    </row>
    <row r="1850">
      <c r="A1850" s="39" t="inlineStr">
        <is>
          <t>Xerjoff</t>
        </is>
      </c>
      <c r="B1850" s="47" t="inlineStr">
        <is>
          <t>XERJOFF CASAMORATI 1888 DAMA BIANCA EDP 100ML FEM</t>
        </is>
      </c>
      <c r="C1850" s="48" t="n">
        <v>100</v>
      </c>
      <c r="D1850" s="49" t="inlineStr">
        <is>
          <t>Nicho</t>
        </is>
      </c>
      <c r="E1850" s="50" t="n">
        <v>160</v>
      </c>
      <c r="F1850" s="51">
        <f>E1850*$B$5*(1+$B$6)</f>
        <v>208000</v>
      </c>
      <c r="G1850" s="51">
        <f>F1850*$B$7</f>
        <v>520000</v>
      </c>
      <c r="H1850" s="51">
        <f>G1850-F1850</f>
        <v>312000</v>
      </c>
      <c r="I1850" s="52">
        <f>H1850/G1850</f>
        <v>0.6</v>
      </c>
      <c r="J1850" s="53" t="n"/>
      <c r="K1850" s="54" t="n"/>
    </row>
    <row r="1851">
      <c r="A1851" s="39" t="inlineStr">
        <is>
          <t>Xerjoff</t>
        </is>
      </c>
      <c r="B1851" s="47" t="inlineStr">
        <is>
          <t>XERJOFF CASAMORATI 1888 FIORE D'ULIVO EDP 100ML</t>
        </is>
      </c>
      <c r="C1851" s="48" t="n">
        <v>100</v>
      </c>
      <c r="D1851" s="49" t="inlineStr">
        <is>
          <t>Nicho</t>
        </is>
      </c>
      <c r="E1851" s="50" t="n">
        <v>160</v>
      </c>
      <c r="F1851" s="51">
        <f>E1851*$B$5*(1+$B$6)</f>
        <v>208000</v>
      </c>
      <c r="G1851" s="51">
        <f>F1851*$B$7</f>
        <v>520000</v>
      </c>
      <c r="H1851" s="51">
        <f>G1851-F1851</f>
        <v>312000</v>
      </c>
      <c r="I1851" s="52">
        <f>H1851/G1851</f>
        <v>0.6</v>
      </c>
      <c r="J1851" s="53" t="n"/>
      <c r="K1851" s="54" t="n"/>
    </row>
    <row r="1852">
      <c r="A1852" s="39" t="inlineStr">
        <is>
          <t>Xerjoff</t>
        </is>
      </c>
      <c r="B1852" s="47" t="inlineStr">
        <is>
          <t>XERJOFF CASAMORATI 1888 ITALICA EDP 100ML</t>
        </is>
      </c>
      <c r="C1852" s="48" t="n">
        <v>100</v>
      </c>
      <c r="D1852" s="49" t="inlineStr">
        <is>
          <t>Nicho</t>
        </is>
      </c>
      <c r="E1852" s="50" t="n">
        <v>160</v>
      </c>
      <c r="F1852" s="51">
        <f>E1852*$B$5*(1+$B$6)</f>
        <v>208000</v>
      </c>
      <c r="G1852" s="51">
        <f>F1852*$B$7</f>
        <v>520000</v>
      </c>
      <c r="H1852" s="51">
        <f>G1852-F1852</f>
        <v>312000</v>
      </c>
      <c r="I1852" s="52">
        <f>H1852/G1852</f>
        <v>0.6</v>
      </c>
      <c r="J1852" s="53" t="n"/>
      <c r="K1852" s="54" t="n"/>
    </row>
    <row r="1853">
      <c r="A1853" s="39" t="inlineStr">
        <is>
          <t>Xerjoff</t>
        </is>
      </c>
      <c r="B1853" s="47" t="inlineStr">
        <is>
          <t>XERJOFF CASAMORATI 1888 LEVAR DEL SOLE EDP 100ML</t>
        </is>
      </c>
      <c r="C1853" s="48" t="n">
        <v>100</v>
      </c>
      <c r="D1853" s="49" t="inlineStr">
        <is>
          <t>Nicho</t>
        </is>
      </c>
      <c r="E1853" s="50" t="n">
        <v>150</v>
      </c>
      <c r="F1853" s="51">
        <f>E1853*$B$5*(1+$B$6)</f>
        <v>195000</v>
      </c>
      <c r="G1853" s="51">
        <f>F1853*$B$7</f>
        <v>487500</v>
      </c>
      <c r="H1853" s="51">
        <f>G1853-F1853</f>
        <v>292500</v>
      </c>
      <c r="I1853" s="52">
        <f>H1853/G1853</f>
        <v>0.6</v>
      </c>
      <c r="J1853" s="53" t="n"/>
      <c r="K1853" s="54" t="n"/>
    </row>
    <row r="1854">
      <c r="A1854" s="39" t="inlineStr">
        <is>
          <t>Xerjoff</t>
        </is>
      </c>
      <c r="B1854" s="47" t="inlineStr">
        <is>
          <t>XERJOFF CASAMORATI 1888 LIRA EDP 100ML</t>
        </is>
      </c>
      <c r="C1854" s="48" t="n">
        <v>100</v>
      </c>
      <c r="D1854" s="49" t="inlineStr">
        <is>
          <t>Nicho</t>
        </is>
      </c>
      <c r="E1854" s="50" t="n">
        <v>165</v>
      </c>
      <c r="F1854" s="51">
        <f>E1854*$B$5*(1+$B$6)</f>
        <v>214500</v>
      </c>
      <c r="G1854" s="51">
        <f>F1854*$B$7</f>
        <v>536250</v>
      </c>
      <c r="H1854" s="51">
        <f>G1854-F1854</f>
        <v>321750</v>
      </c>
      <c r="I1854" s="52">
        <f>H1854/G1854</f>
        <v>0.6</v>
      </c>
      <c r="J1854" s="53" t="n"/>
      <c r="K1854" s="54" t="n"/>
    </row>
    <row r="1855">
      <c r="A1855" s="39" t="inlineStr">
        <is>
          <t>Xerjoff</t>
        </is>
      </c>
      <c r="B1855" s="47" t="inlineStr">
        <is>
          <t>XERJOFF CASAMORATI 1888 MEFISTO EDP 100ML</t>
        </is>
      </c>
      <c r="C1855" s="48" t="n">
        <v>100</v>
      </c>
      <c r="D1855" s="49" t="inlineStr">
        <is>
          <t>Nicho</t>
        </is>
      </c>
      <c r="E1855" s="50" t="n">
        <v>149</v>
      </c>
      <c r="F1855" s="51">
        <f>E1855*$B$5*(1+$B$6)</f>
        <v>193700</v>
      </c>
      <c r="G1855" s="51">
        <f>F1855*$B$7</f>
        <v>484250</v>
      </c>
      <c r="H1855" s="51">
        <f>G1855-F1855</f>
        <v>290550</v>
      </c>
      <c r="I1855" s="52">
        <f>H1855/G1855</f>
        <v>0.6</v>
      </c>
      <c r="J1855" s="53" t="n"/>
      <c r="K1855" s="54" t="n"/>
    </row>
    <row r="1856">
      <c r="A1856" s="39" t="inlineStr">
        <is>
          <t>Xerjoff</t>
        </is>
      </c>
      <c r="B1856" s="47" t="inlineStr">
        <is>
          <t>XERJOFF CASAMORATI 1888 QUATTRO PIZZI EDP 100ML UNISEX</t>
        </is>
      </c>
      <c r="C1856" s="48" t="n">
        <v>100</v>
      </c>
      <c r="D1856" s="49" t="inlineStr">
        <is>
          <t>Nicho</t>
        </is>
      </c>
      <c r="E1856" s="50" t="n">
        <v>150</v>
      </c>
      <c r="F1856" s="51">
        <f>E1856*$B$5*(1+$B$6)</f>
        <v>195000</v>
      </c>
      <c r="G1856" s="51">
        <f>F1856*$B$7</f>
        <v>487500</v>
      </c>
      <c r="H1856" s="51">
        <f>G1856-F1856</f>
        <v>292500</v>
      </c>
      <c r="I1856" s="52">
        <f>H1856/G1856</f>
        <v>0.6</v>
      </c>
      <c r="J1856" s="53" t="n"/>
      <c r="K1856" s="54" t="n"/>
    </row>
    <row r="1857">
      <c r="A1857" s="39" t="inlineStr">
        <is>
          <t>Xerjoff</t>
        </is>
      </c>
      <c r="B1857" s="47" t="inlineStr">
        <is>
          <t>XERJOFF CASAMORATI BOUQUET IDEALE EDP 100ML</t>
        </is>
      </c>
      <c r="C1857" s="48" t="n">
        <v>100</v>
      </c>
      <c r="D1857" s="49" t="inlineStr">
        <is>
          <t>Nicho</t>
        </is>
      </c>
      <c r="E1857" s="50" t="n">
        <v>149</v>
      </c>
      <c r="F1857" s="51">
        <f>E1857*$B$5*(1+$B$6)</f>
        <v>193700</v>
      </c>
      <c r="G1857" s="51">
        <f>F1857*$B$7</f>
        <v>484250</v>
      </c>
      <c r="H1857" s="51">
        <f>G1857-F1857</f>
        <v>290550</v>
      </c>
      <c r="I1857" s="52">
        <f>H1857/G1857</f>
        <v>0.6</v>
      </c>
      <c r="J1857" s="53" t="n"/>
      <c r="K1857" s="54" t="n"/>
    </row>
    <row r="1858">
      <c r="A1858" s="39" t="inlineStr">
        <is>
          <t>Xerjoff</t>
        </is>
      </c>
      <c r="B1858" s="47" t="inlineStr">
        <is>
          <t>XERJOFF DAMAROSE PARFUM 100ML</t>
        </is>
      </c>
      <c r="C1858" s="48" t="n">
        <v>100</v>
      </c>
      <c r="D1858" s="49" t="inlineStr">
        <is>
          <t>Nicho</t>
        </is>
      </c>
      <c r="E1858" s="50" t="n">
        <v>360</v>
      </c>
      <c r="F1858" s="51">
        <f>E1858*$B$5*(1+$B$6)</f>
        <v>468000</v>
      </c>
      <c r="G1858" s="51">
        <f>F1858*$B$7</f>
        <v>1170000</v>
      </c>
      <c r="H1858" s="51">
        <f>G1858-F1858</f>
        <v>702000</v>
      </c>
      <c r="I1858" s="52">
        <f>H1858/G1858</f>
        <v>0.6</v>
      </c>
      <c r="J1858" s="53" t="n"/>
      <c r="K1858" s="54" t="n"/>
    </row>
    <row r="1859">
      <c r="A1859" s="39" t="inlineStr">
        <is>
          <t>Xerjoff</t>
        </is>
      </c>
      <c r="B1859" s="47" t="inlineStr">
        <is>
          <t>XERJOFF DON EDP 100ML</t>
        </is>
      </c>
      <c r="C1859" s="48" t="n">
        <v>100</v>
      </c>
      <c r="D1859" s="49" t="inlineStr">
        <is>
          <t>Nicho</t>
        </is>
      </c>
      <c r="E1859" s="50" t="n">
        <v>195</v>
      </c>
      <c r="F1859" s="51">
        <f>E1859*$B$5*(1+$B$6)</f>
        <v>253500</v>
      </c>
      <c r="G1859" s="51">
        <f>F1859*$B$7</f>
        <v>633750</v>
      </c>
      <c r="H1859" s="51">
        <f>G1859-F1859</f>
        <v>380250</v>
      </c>
      <c r="I1859" s="52">
        <f>H1859/G1859</f>
        <v>0.6</v>
      </c>
      <c r="J1859" s="53" t="n"/>
      <c r="K1859" s="54" t="n"/>
    </row>
    <row r="1860">
      <c r="A1860" s="39" t="inlineStr">
        <is>
          <t>Xerjoff</t>
        </is>
      </c>
      <c r="B1860" s="47" t="inlineStr">
        <is>
          <t>XERJOFF DURAN DURAN BLACK MOONLIGHT PARFUM 50ML UNISEX</t>
        </is>
      </c>
      <c r="C1860" s="48" t="n">
        <v>50</v>
      </c>
      <c r="D1860" s="49" t="inlineStr">
        <is>
          <t>Nicho</t>
        </is>
      </c>
      <c r="E1860" s="50" t="n">
        <v>184</v>
      </c>
      <c r="F1860" s="51">
        <f>E1860*$B$5*(1+$B$6)</f>
        <v>239200</v>
      </c>
      <c r="G1860" s="51">
        <f>F1860*$B$7</f>
        <v>598000</v>
      </c>
      <c r="H1860" s="51">
        <f>G1860-F1860</f>
        <v>358800</v>
      </c>
      <c r="I1860" s="52">
        <f>H1860/G1860</f>
        <v>0.6</v>
      </c>
      <c r="J1860" s="53" t="n"/>
      <c r="K1860" s="54" t="n"/>
    </row>
    <row r="1861">
      <c r="A1861" s="39" t="inlineStr">
        <is>
          <t>Xerjoff</t>
        </is>
      </c>
      <c r="B1861" s="47" t="inlineStr">
        <is>
          <t>XERJOFF DURAN DURAN NEO RIO GREEN PARFUM 50ML UNISEX</t>
        </is>
      </c>
      <c r="C1861" s="48" t="n">
        <v>50</v>
      </c>
      <c r="D1861" s="49" t="inlineStr">
        <is>
          <t>Nicho</t>
        </is>
      </c>
      <c r="E1861" s="50" t="n">
        <v>185</v>
      </c>
      <c r="F1861" s="51">
        <f>E1861*$B$5*(1+$B$6)</f>
        <v>240500</v>
      </c>
      <c r="G1861" s="51">
        <f>F1861*$B$7</f>
        <v>601250</v>
      </c>
      <c r="H1861" s="51">
        <f>G1861-F1861</f>
        <v>360750</v>
      </c>
      <c r="I1861" s="52">
        <f>H1861/G1861</f>
        <v>0.6</v>
      </c>
      <c r="J1861" s="53" t="n"/>
      <c r="K1861" s="54" t="n"/>
    </row>
    <row r="1862">
      <c r="A1862" s="39" t="inlineStr">
        <is>
          <t>Xerjoff</t>
        </is>
      </c>
      <c r="B1862" s="47" t="inlineStr">
        <is>
          <t>XERJOFF DURAN DURAN NEO RIO ORANGE PARFUM 50ML UNISEX</t>
        </is>
      </c>
      <c r="C1862" s="48" t="n">
        <v>50</v>
      </c>
      <c r="D1862" s="49" t="inlineStr">
        <is>
          <t>Nicho</t>
        </is>
      </c>
      <c r="E1862" s="50" t="n">
        <v>185</v>
      </c>
      <c r="F1862" s="51">
        <f>E1862*$B$5*(1+$B$6)</f>
        <v>240500</v>
      </c>
      <c r="G1862" s="51">
        <f>F1862*$B$7</f>
        <v>601250</v>
      </c>
      <c r="H1862" s="51">
        <f>G1862-F1862</f>
        <v>360750</v>
      </c>
      <c r="I1862" s="52">
        <f>H1862/G1862</f>
        <v>0.6</v>
      </c>
      <c r="J1862" s="53" t="n"/>
      <c r="K1862" s="54" t="n"/>
    </row>
    <row r="1863">
      <c r="A1863" s="39" t="inlineStr">
        <is>
          <t>Xerjoff</t>
        </is>
      </c>
      <c r="B1863" s="47" t="inlineStr">
        <is>
          <t>XERJOFF DURAN DURAN NEO RIO PINK PARFUM 50ML UNISEX</t>
        </is>
      </c>
      <c r="C1863" s="48" t="n">
        <v>50</v>
      </c>
      <c r="D1863" s="49" t="inlineStr">
        <is>
          <t>Nicho</t>
        </is>
      </c>
      <c r="E1863" s="50" t="n">
        <v>185</v>
      </c>
      <c r="F1863" s="51">
        <f>E1863*$B$5*(1+$B$6)</f>
        <v>240500</v>
      </c>
      <c r="G1863" s="51">
        <f>F1863*$B$7</f>
        <v>601250</v>
      </c>
      <c r="H1863" s="51">
        <f>G1863-F1863</f>
        <v>360750</v>
      </c>
      <c r="I1863" s="52">
        <f>H1863/G1863</f>
        <v>0.6</v>
      </c>
      <c r="J1863" s="53" t="n"/>
      <c r="K1863" s="54" t="n"/>
    </row>
    <row r="1864">
      <c r="A1864" s="39" t="inlineStr">
        <is>
          <t>Xerjoff</t>
        </is>
      </c>
      <c r="B1864" s="47" t="inlineStr">
        <is>
          <t>XERJOFF DURAN DURAN NEO RIO YELLOW PARFUM 50ML UNISEX</t>
        </is>
      </c>
      <c r="C1864" s="48" t="n">
        <v>50</v>
      </c>
      <c r="D1864" s="49" t="inlineStr">
        <is>
          <t>Nicho</t>
        </is>
      </c>
      <c r="E1864" s="50" t="n">
        <v>185</v>
      </c>
      <c r="F1864" s="51">
        <f>E1864*$B$5*(1+$B$6)</f>
        <v>240500</v>
      </c>
      <c r="G1864" s="51">
        <f>F1864*$B$7</f>
        <v>601250</v>
      </c>
      <c r="H1864" s="51">
        <f>G1864-F1864</f>
        <v>360750</v>
      </c>
      <c r="I1864" s="52">
        <f>H1864/G1864</f>
        <v>0.6</v>
      </c>
      <c r="J1864" s="53" t="n"/>
      <c r="K1864" s="54" t="n"/>
    </row>
    <row r="1865">
      <c r="A1865" s="39" t="inlineStr">
        <is>
          <t>Xerjoff</t>
        </is>
      </c>
      <c r="B1865" s="47" t="inlineStr">
        <is>
          <t>XERJOFF ERBA GOLD EDP 100ML</t>
        </is>
      </c>
      <c r="C1865" s="48" t="n">
        <v>100</v>
      </c>
      <c r="D1865" s="49" t="inlineStr">
        <is>
          <t>Nicho</t>
        </is>
      </c>
      <c r="E1865" s="50" t="n">
        <v>159</v>
      </c>
      <c r="F1865" s="51">
        <f>E1865*$B$5*(1+$B$6)</f>
        <v>206700</v>
      </c>
      <c r="G1865" s="51">
        <f>F1865*$B$7</f>
        <v>516750</v>
      </c>
      <c r="H1865" s="51">
        <f>G1865-F1865</f>
        <v>310050</v>
      </c>
      <c r="I1865" s="52">
        <f>H1865/G1865</f>
        <v>0.6</v>
      </c>
      <c r="J1865" s="53" t="n"/>
      <c r="K1865" s="54" t="n"/>
    </row>
    <row r="1866">
      <c r="A1866" s="39" t="inlineStr">
        <is>
          <t>Xerjoff</t>
        </is>
      </c>
      <c r="B1866" s="47" t="inlineStr">
        <is>
          <t>XERJOFF ERBA PURA EDP 100ML</t>
        </is>
      </c>
      <c r="C1866" s="48" t="n">
        <v>100</v>
      </c>
      <c r="D1866" s="49" t="inlineStr">
        <is>
          <t>Nicho</t>
        </is>
      </c>
      <c r="E1866" s="50" t="n">
        <v>147</v>
      </c>
      <c r="F1866" s="51">
        <f>E1866*$B$5*(1+$B$6)</f>
        <v>191100</v>
      </c>
      <c r="G1866" s="51">
        <f>F1866*$B$7</f>
        <v>477750</v>
      </c>
      <c r="H1866" s="51">
        <f>G1866-F1866</f>
        <v>286650</v>
      </c>
      <c r="I1866" s="52">
        <f>H1866/G1866</f>
        <v>0.6</v>
      </c>
      <c r="J1866" s="53" t="n"/>
      <c r="K1866" s="54" t="n"/>
    </row>
    <row r="1867">
      <c r="A1867" s="39" t="inlineStr">
        <is>
          <t>Xerjoff</t>
        </is>
      </c>
      <c r="B1867" s="47" t="inlineStr">
        <is>
          <t>XERJOFF JABIR COLLECTION EDP 50ML</t>
        </is>
      </c>
      <c r="C1867" s="48" t="n">
        <v>50</v>
      </c>
      <c r="D1867" s="49" t="inlineStr">
        <is>
          <t>Nicho</t>
        </is>
      </c>
      <c r="E1867" s="50" t="n">
        <v>158</v>
      </c>
      <c r="F1867" s="51">
        <f>E1867*$B$5*(1+$B$6)</f>
        <v>205400</v>
      </c>
      <c r="G1867" s="51">
        <f>F1867*$B$7</f>
        <v>513500</v>
      </c>
      <c r="H1867" s="51">
        <f>G1867-F1867</f>
        <v>308100</v>
      </c>
      <c r="I1867" s="52">
        <f>H1867/G1867</f>
        <v>0.6</v>
      </c>
      <c r="J1867" s="53" t="n"/>
      <c r="K1867" s="54" t="n"/>
    </row>
    <row r="1868">
      <c r="A1868" s="39" t="inlineStr">
        <is>
          <t>Xerjoff</t>
        </is>
      </c>
      <c r="B1868" s="47" t="inlineStr">
        <is>
          <t>XERJOFF KIT MIXING EXPERIENCE AMBER &amp; MUSK - AMBER STAR &amp; STAR M</t>
        </is>
      </c>
      <c r="C1868" s="48" t="n"/>
      <c r="D1868" s="49" t="inlineStr">
        <is>
          <t>Nicho</t>
        </is>
      </c>
      <c r="E1868" s="50" t="n">
        <v>350</v>
      </c>
      <c r="F1868" s="51">
        <f>E1868*$B$5*(1+$B$6)</f>
        <v>455000</v>
      </c>
      <c r="G1868" s="51">
        <f>F1868*$B$7</f>
        <v>1137500</v>
      </c>
      <c r="H1868" s="51">
        <f>G1868-F1868</f>
        <v>682500</v>
      </c>
      <c r="I1868" s="52">
        <f>H1868/G1868</f>
        <v>0.6</v>
      </c>
      <c r="J1868" s="53" t="n"/>
      <c r="K1868" s="54" t="n"/>
    </row>
    <row r="1869">
      <c r="A1869" s="39" t="inlineStr">
        <is>
          <t>Xerjoff</t>
        </is>
      </c>
      <c r="B1869" s="47" t="inlineStr">
        <is>
          <t>XERJOFF KIT MIXING EXPERIENCE AMBER &amp; ROSE - AMBER&amp;ROSE PARFUM 2X50ML</t>
        </is>
      </c>
      <c r="C1869" s="48" t="n">
        <v>100</v>
      </c>
      <c r="D1869" s="49" t="inlineStr">
        <is>
          <t>Nicho</t>
        </is>
      </c>
      <c r="E1869" s="50" t="n">
        <v>350</v>
      </c>
      <c r="F1869" s="51">
        <f>E1869*$B$5*(1+$B$6)</f>
        <v>455000</v>
      </c>
      <c r="G1869" s="51">
        <f>F1869*$B$7</f>
        <v>1137500</v>
      </c>
      <c r="H1869" s="51">
        <f>G1869-F1869</f>
        <v>682500</v>
      </c>
      <c r="I1869" s="52">
        <f>H1869/G1869</f>
        <v>0.6</v>
      </c>
      <c r="J1869" s="53" t="n"/>
      <c r="K1869" s="54" t="n"/>
    </row>
    <row r="1870">
      <c r="A1870" s="39" t="inlineStr">
        <is>
          <t>Xerjoff</t>
        </is>
      </c>
      <c r="B1870" s="47" t="inlineStr">
        <is>
          <t>XERJOFF MORE THAN WORDS EDP 100ML</t>
        </is>
      </c>
      <c r="C1870" s="48" t="n">
        <v>100</v>
      </c>
      <c r="D1870" s="49" t="inlineStr">
        <is>
          <t>Nicho</t>
        </is>
      </c>
      <c r="E1870" s="50" t="n">
        <v>257</v>
      </c>
      <c r="F1870" s="51">
        <f>E1870*$B$5*(1+$B$6)</f>
        <v>334100</v>
      </c>
      <c r="G1870" s="51">
        <f>F1870*$B$7</f>
        <v>835250</v>
      </c>
      <c r="H1870" s="51">
        <f>G1870-F1870</f>
        <v>501150</v>
      </c>
      <c r="I1870" s="52">
        <f>H1870/G1870</f>
        <v>0.6</v>
      </c>
      <c r="J1870" s="53" t="n"/>
      <c r="K1870" s="54" t="n"/>
    </row>
    <row r="1871">
      <c r="A1871" s="39" t="inlineStr">
        <is>
          <t>Xerjoff</t>
        </is>
      </c>
      <c r="B1871" s="47" t="inlineStr">
        <is>
          <t>XERJOFF NAXOS EDP 100ML</t>
        </is>
      </c>
      <c r="C1871" s="48" t="n">
        <v>100</v>
      </c>
      <c r="D1871" s="49" t="inlineStr">
        <is>
          <t>Nicho</t>
        </is>
      </c>
      <c r="E1871" s="50" t="n">
        <v>164</v>
      </c>
      <c r="F1871" s="51">
        <f>E1871*$B$5*(1+$B$6)</f>
        <v>213200</v>
      </c>
      <c r="G1871" s="51">
        <f>F1871*$B$7</f>
        <v>533000</v>
      </c>
      <c r="H1871" s="51">
        <f>G1871-F1871</f>
        <v>319800</v>
      </c>
      <c r="I1871" s="52">
        <f>H1871/G1871</f>
        <v>0.6</v>
      </c>
      <c r="J1871" s="53" t="n"/>
      <c r="K1871" s="54" t="n"/>
    </row>
    <row r="1872">
      <c r="A1872" s="39" t="inlineStr">
        <is>
          <t>Xerjoff</t>
        </is>
      </c>
      <c r="B1872" s="47" t="inlineStr">
        <is>
          <t>XERJOFF PURPLE ACCENTO SWAROVSKI EDP 100ML</t>
        </is>
      </c>
      <c r="C1872" s="48" t="n">
        <v>100</v>
      </c>
      <c r="D1872" s="49" t="inlineStr">
        <is>
          <t>Nicho</t>
        </is>
      </c>
      <c r="E1872" s="50" t="n">
        <v>360</v>
      </c>
      <c r="F1872" s="51">
        <f>E1872*$B$5*(1+$B$6)</f>
        <v>468000</v>
      </c>
      <c r="G1872" s="51">
        <f>F1872*$B$7</f>
        <v>1170000</v>
      </c>
      <c r="H1872" s="51">
        <f>G1872-F1872</f>
        <v>702000</v>
      </c>
      <c r="I1872" s="52">
        <f>H1872/G1872</f>
        <v>0.6</v>
      </c>
      <c r="J1872" s="53" t="n"/>
      <c r="K1872" s="54" t="n"/>
    </row>
    <row r="1873">
      <c r="A1873" s="39" t="inlineStr">
        <is>
          <t>Xerjoff</t>
        </is>
      </c>
      <c r="B1873" s="47" t="inlineStr">
        <is>
          <t>XERJOFF RENAISSANCE EDP 100ML</t>
        </is>
      </c>
      <c r="C1873" s="48" t="n">
        <v>100</v>
      </c>
      <c r="D1873" s="49" t="inlineStr">
        <is>
          <t>Nicho</t>
        </is>
      </c>
      <c r="E1873" s="50" t="n">
        <v>180</v>
      </c>
      <c r="F1873" s="51">
        <f>E1873*$B$5*(1+$B$6)</f>
        <v>234000</v>
      </c>
      <c r="G1873" s="51">
        <f>F1873*$B$7</f>
        <v>585000</v>
      </c>
      <c r="H1873" s="51">
        <f>G1873-F1873</f>
        <v>351000</v>
      </c>
      <c r="I1873" s="52">
        <f>H1873/G1873</f>
        <v>0.6</v>
      </c>
      <c r="J1873" s="53" t="n"/>
      <c r="K1873" s="54" t="n"/>
    </row>
    <row r="1874">
      <c r="A1874" s="39" t="inlineStr">
        <is>
          <t>Xerjoff</t>
        </is>
      </c>
      <c r="B1874" s="47" t="inlineStr">
        <is>
          <t>XERJOFF TORINO 21 EDP 100ML</t>
        </is>
      </c>
      <c r="C1874" s="48" t="n">
        <v>100</v>
      </c>
      <c r="D1874" s="49" t="inlineStr">
        <is>
          <t>Nicho</t>
        </is>
      </c>
      <c r="E1874" s="50" t="n">
        <v>186</v>
      </c>
      <c r="F1874" s="51">
        <f>E1874*$B$5*(1+$B$6)</f>
        <v>241800</v>
      </c>
      <c r="G1874" s="51">
        <f>F1874*$B$7</f>
        <v>604500</v>
      </c>
      <c r="H1874" s="51">
        <f>G1874-F1874</f>
        <v>362700</v>
      </c>
      <c r="I1874" s="52">
        <f>H1874/G1874</f>
        <v>0.6</v>
      </c>
      <c r="J1874" s="53" t="n"/>
      <c r="K1874" s="54" t="n"/>
    </row>
    <row r="1875">
      <c r="A1875" s="39" t="inlineStr">
        <is>
          <t>Xerjoff</t>
        </is>
      </c>
      <c r="B1875" s="47" t="inlineStr">
        <is>
          <t>XERJOFF VIA CAVOUR I EDP 50ML</t>
        </is>
      </c>
      <c r="C1875" s="48" t="n">
        <v>50</v>
      </c>
      <c r="D1875" s="49" t="inlineStr">
        <is>
          <t>Nicho</t>
        </is>
      </c>
      <c r="E1875" s="50" t="n">
        <v>175</v>
      </c>
      <c r="F1875" s="51">
        <f>E1875*$B$5*(1+$B$6)</f>
        <v>227500</v>
      </c>
      <c r="G1875" s="51">
        <f>F1875*$B$7</f>
        <v>568750</v>
      </c>
      <c r="H1875" s="51">
        <f>G1875-F1875</f>
        <v>341250</v>
      </c>
      <c r="I1875" s="52">
        <f>H1875/G1875</f>
        <v>0.6</v>
      </c>
      <c r="J1875" s="53" t="n"/>
      <c r="K1875" s="54" t="n"/>
    </row>
    <row r="1876">
      <c r="A1876" s="39" t="inlineStr">
        <is>
          <t>Xerjoff</t>
        </is>
      </c>
      <c r="B1876" s="47" t="inlineStr">
        <is>
          <t>XERJOFF XJ 17/17 HOMME ANNIVERSARY PARFUM 50ML</t>
        </is>
      </c>
      <c r="C1876" s="48" t="n">
        <v>50</v>
      </c>
      <c r="D1876" s="49" t="inlineStr">
        <is>
          <t>Nicho</t>
        </is>
      </c>
      <c r="E1876" s="50" t="n">
        <v>260</v>
      </c>
      <c r="F1876" s="51">
        <f>E1876*$B$5*(1+$B$6)</f>
        <v>338000</v>
      </c>
      <c r="G1876" s="51">
        <f>F1876*$B$7</f>
        <v>845000</v>
      </c>
      <c r="H1876" s="51">
        <f>G1876-F1876</f>
        <v>507000</v>
      </c>
      <c r="I1876" s="52">
        <f>H1876/G1876</f>
        <v>0.6</v>
      </c>
      <c r="J1876" s="53" t="n"/>
      <c r="K1876" s="54" t="n"/>
    </row>
    <row r="1877">
      <c r="A1877" s="39" t="inlineStr">
        <is>
          <t>Yves Saint Laurent</t>
        </is>
      </c>
      <c r="B1877" s="47" t="inlineStr">
        <is>
          <t>(YSL) KIT YVES SAINT LAURENT L'HOMME EDT 100ML + SHOWER 50ML</t>
        </is>
      </c>
      <c r="C1877" s="48" t="n">
        <v>100</v>
      </c>
      <c r="D1877" s="49" t="inlineStr">
        <is>
          <t>Diseñador</t>
        </is>
      </c>
      <c r="E1877" s="50" t="n">
        <v>80</v>
      </c>
      <c r="F1877" s="51">
        <f>E1877*$B$5*(1+$B$6)</f>
        <v>104000</v>
      </c>
      <c r="G1877" s="51">
        <f>F1877*$B$7</f>
        <v>260000</v>
      </c>
      <c r="H1877" s="51">
        <f>G1877-F1877</f>
        <v>156000</v>
      </c>
      <c r="I1877" s="52">
        <f>H1877/G1877</f>
        <v>0.6</v>
      </c>
      <c r="J1877" s="53" t="n"/>
      <c r="K1877" s="54" t="n"/>
    </row>
    <row r="1878">
      <c r="A1878" s="39" t="inlineStr">
        <is>
          <t>Yves Saint Laurent</t>
        </is>
      </c>
      <c r="B1878" s="47" t="inlineStr">
        <is>
          <t>(YSL) KIT YVES SAINT LAURENT LIBRE EDP 90ML + EDP 10ML FEM</t>
        </is>
      </c>
      <c r="C1878" s="48" t="n">
        <v>90</v>
      </c>
      <c r="D1878" s="49" t="inlineStr">
        <is>
          <t>Diseñador</t>
        </is>
      </c>
      <c r="E1878" s="50" t="n">
        <v>126</v>
      </c>
      <c r="F1878" s="51">
        <f>E1878*$B$5*(1+$B$6)</f>
        <v>163800</v>
      </c>
      <c r="G1878" s="51">
        <f>F1878*$B$7</f>
        <v>409500</v>
      </c>
      <c r="H1878" s="51">
        <f>G1878-F1878</f>
        <v>245700</v>
      </c>
      <c r="I1878" s="52">
        <f>H1878/G1878</f>
        <v>0.6</v>
      </c>
      <c r="J1878" s="53" t="n"/>
      <c r="K1878" s="54" t="n"/>
    </row>
    <row r="1879">
      <c r="A1879" s="39" t="inlineStr">
        <is>
          <t>Yves Saint Laurent</t>
        </is>
      </c>
      <c r="B1879" s="47" t="inlineStr">
        <is>
          <t>(YSL) KIT YVES SAINT LAURENT MYSLF EDP 100ML + EDP 10ML MASC</t>
        </is>
      </c>
      <c r="C1879" s="48" t="n">
        <v>100</v>
      </c>
      <c r="D1879" s="49" t="inlineStr">
        <is>
          <t>Diseñador</t>
        </is>
      </c>
      <c r="E1879" s="50" t="n">
        <v>125</v>
      </c>
      <c r="F1879" s="51">
        <f>E1879*$B$5*(1+$B$6)</f>
        <v>162500</v>
      </c>
      <c r="G1879" s="51">
        <f>F1879*$B$7</f>
        <v>406250</v>
      </c>
      <c r="H1879" s="51">
        <f>G1879-F1879</f>
        <v>243750</v>
      </c>
      <c r="I1879" s="52">
        <f>H1879/G1879</f>
        <v>0.6</v>
      </c>
      <c r="J1879" s="53" t="n"/>
      <c r="K1879" s="54" t="n"/>
    </row>
    <row r="1880">
      <c r="A1880" s="39" t="inlineStr">
        <is>
          <t>Yves Saint Laurent</t>
        </is>
      </c>
      <c r="B1880" s="47" t="inlineStr">
        <is>
          <t>(YSL) YVES SAINT LAURENT BLACK OPIUM EDP NEON 75ML FEM</t>
        </is>
      </c>
      <c r="C1880" s="48" t="n">
        <v>75</v>
      </c>
      <c r="D1880" s="49" t="inlineStr">
        <is>
          <t>Diseñador</t>
        </is>
      </c>
      <c r="E1880" s="50" t="n">
        <v>90</v>
      </c>
      <c r="F1880" s="51">
        <f>E1880*$B$5*(1+$B$6)</f>
        <v>117000</v>
      </c>
      <c r="G1880" s="51">
        <f>F1880*$B$7</f>
        <v>292500</v>
      </c>
      <c r="H1880" s="51">
        <f>G1880-F1880</f>
        <v>175500</v>
      </c>
      <c r="I1880" s="52">
        <f>H1880/G1880</f>
        <v>0.6</v>
      </c>
      <c r="J1880" s="53" t="n"/>
      <c r="K1880" s="54" t="n"/>
    </row>
    <row r="1881">
      <c r="A1881" s="39" t="inlineStr">
        <is>
          <t>Yves Saint Laurent</t>
        </is>
      </c>
      <c r="B1881" s="47" t="inlineStr">
        <is>
          <t>(YSL) YVES SAINT LAURENT KOUROS EDT 100ML MASC</t>
        </is>
      </c>
      <c r="C1881" s="48" t="n">
        <v>100</v>
      </c>
      <c r="D1881" s="49" t="inlineStr">
        <is>
          <t>Diseñador</t>
        </is>
      </c>
      <c r="E1881" s="50" t="n">
        <v>51.5</v>
      </c>
      <c r="F1881" s="51">
        <f>E1881*$B$5*(1+$B$6)</f>
        <v>66950</v>
      </c>
      <c r="G1881" s="51">
        <f>F1881*$B$7</f>
        <v>167375</v>
      </c>
      <c r="H1881" s="51">
        <f>G1881-F1881</f>
        <v>100425</v>
      </c>
      <c r="I1881" s="52">
        <f>H1881/G1881</f>
        <v>0.6</v>
      </c>
      <c r="J1881" s="53" t="n"/>
      <c r="K1881" s="54" t="n"/>
    </row>
    <row r="1882">
      <c r="A1882" s="39" t="inlineStr">
        <is>
          <t>Yves Saint Laurent</t>
        </is>
      </c>
      <c r="B1882" s="47" t="inlineStr">
        <is>
          <t>(YSL) YVES SAINT LAURENT L'HOMME EDT 100ML MASC</t>
        </is>
      </c>
      <c r="C1882" s="48" t="n">
        <v>100</v>
      </c>
      <c r="D1882" s="49" t="inlineStr">
        <is>
          <t>Diseñador</t>
        </is>
      </c>
      <c r="E1882" s="50" t="n">
        <v>71</v>
      </c>
      <c r="F1882" s="51">
        <f>E1882*$B$5*(1+$B$6)</f>
        <v>92300</v>
      </c>
      <c r="G1882" s="51">
        <f>F1882*$B$7</f>
        <v>230750</v>
      </c>
      <c r="H1882" s="51">
        <f>G1882-F1882</f>
        <v>138450</v>
      </c>
      <c r="I1882" s="52">
        <f>H1882/G1882</f>
        <v>0.6</v>
      </c>
      <c r="J1882" s="53" t="n"/>
      <c r="K1882" s="54" t="n"/>
    </row>
    <row r="1883">
      <c r="A1883" s="39" t="inlineStr">
        <is>
          <t>Yves Saint Laurent</t>
        </is>
      </c>
      <c r="B1883" s="47" t="inlineStr">
        <is>
          <t>(YSL) YVES SAINT LAURENT LA NUIT DE L'HOMME EDT 100ML</t>
        </is>
      </c>
      <c r="C1883" s="48" t="n">
        <v>100</v>
      </c>
      <c r="D1883" s="49" t="inlineStr">
        <is>
          <t>Diseñador</t>
        </is>
      </c>
      <c r="E1883" s="50" t="n">
        <v>72</v>
      </c>
      <c r="F1883" s="51">
        <f>E1883*$B$5*(1+$B$6)</f>
        <v>93600</v>
      </c>
      <c r="G1883" s="51">
        <f>F1883*$B$7</f>
        <v>234000</v>
      </c>
      <c r="H1883" s="51">
        <f>G1883-F1883</f>
        <v>140400</v>
      </c>
      <c r="I1883" s="52">
        <f>H1883/G1883</f>
        <v>0.6</v>
      </c>
      <c r="J1883" s="53" t="n"/>
      <c r="K1883" s="54" t="n"/>
    </row>
    <row r="1884">
      <c r="A1884" s="39" t="inlineStr">
        <is>
          <t>Yves Saint Laurent</t>
        </is>
      </c>
      <c r="B1884" s="47" t="inlineStr">
        <is>
          <t>(YSL) YVES SAINT LAURENT LIBRE BERRY CRUSH EDP FRUITEE 50ML FEM</t>
        </is>
      </c>
      <c r="C1884" s="48" t="n">
        <v>50</v>
      </c>
      <c r="D1884" s="49" t="inlineStr">
        <is>
          <t>Diseñador</t>
        </is>
      </c>
      <c r="E1884" s="50" t="n">
        <v>115</v>
      </c>
      <c r="F1884" s="51">
        <f>E1884*$B$5*(1+$B$6)</f>
        <v>149500</v>
      </c>
      <c r="G1884" s="51">
        <f>F1884*$B$7</f>
        <v>373750</v>
      </c>
      <c r="H1884" s="51">
        <f>G1884-F1884</f>
        <v>224250</v>
      </c>
      <c r="I1884" s="52">
        <f>H1884/G1884</f>
        <v>0.6</v>
      </c>
      <c r="J1884" s="53" t="n"/>
      <c r="K1884" s="54" t="n"/>
    </row>
    <row r="1885">
      <c r="A1885" s="39" t="inlineStr">
        <is>
          <t>Yves Saint Laurent</t>
        </is>
      </c>
      <c r="B1885" s="47" t="inlineStr">
        <is>
          <t>(YSL) YVES SAINT LAURENT LIBRE BERRY CRUSH EDP FRUITEE 90ML FEM</t>
        </is>
      </c>
      <c r="C1885" s="48" t="n">
        <v>90</v>
      </c>
      <c r="D1885" s="49" t="inlineStr">
        <is>
          <t>Diseñador</t>
        </is>
      </c>
      <c r="E1885" s="50" t="n">
        <v>194</v>
      </c>
      <c r="F1885" s="51">
        <f>E1885*$B$5*(1+$B$6)</f>
        <v>252200</v>
      </c>
      <c r="G1885" s="51">
        <f>F1885*$B$7</f>
        <v>630500</v>
      </c>
      <c r="H1885" s="51">
        <f>G1885-F1885</f>
        <v>378300</v>
      </c>
      <c r="I1885" s="52">
        <f>H1885/G1885</f>
        <v>0.6</v>
      </c>
      <c r="J1885" s="53" t="n"/>
      <c r="K1885" s="54" t="n"/>
    </row>
    <row r="1886">
      <c r="A1886" s="39" t="inlineStr">
        <is>
          <t>Yves Saint Laurent</t>
        </is>
      </c>
      <c r="B1886" s="47" t="inlineStr">
        <is>
          <t>(YSL) YVES SAINT LAURENT LIBRE EDP 90ML FEM</t>
        </is>
      </c>
      <c r="C1886" s="48" t="n">
        <v>90</v>
      </c>
      <c r="D1886" s="49" t="inlineStr">
        <is>
          <t>Diseñador</t>
        </is>
      </c>
      <c r="E1886" s="50" t="n">
        <v>105</v>
      </c>
      <c r="F1886" s="51">
        <f>E1886*$B$5*(1+$B$6)</f>
        <v>136500</v>
      </c>
      <c r="G1886" s="51">
        <f>F1886*$B$7</f>
        <v>341250</v>
      </c>
      <c r="H1886" s="51">
        <f>G1886-F1886</f>
        <v>204750</v>
      </c>
      <c r="I1886" s="52">
        <f>H1886/G1886</f>
        <v>0.6</v>
      </c>
      <c r="J1886" s="53" t="n"/>
      <c r="K1886" s="54" t="n"/>
    </row>
    <row r="1887">
      <c r="A1887" s="39" t="inlineStr">
        <is>
          <t>Yves Saint Laurent</t>
        </is>
      </c>
      <c r="B1887" s="47" t="inlineStr">
        <is>
          <t>(YSL) YVES SAINT LAURENT LIBRE EDT 90ML FEM</t>
        </is>
      </c>
      <c r="C1887" s="48" t="n">
        <v>90</v>
      </c>
      <c r="D1887" s="49" t="inlineStr">
        <is>
          <t>Diseñador</t>
        </is>
      </c>
      <c r="E1887" s="50" t="n">
        <v>88</v>
      </c>
      <c r="F1887" s="51">
        <f>E1887*$B$5*(1+$B$6)</f>
        <v>114400</v>
      </c>
      <c r="G1887" s="51">
        <f>F1887*$B$7</f>
        <v>286000</v>
      </c>
      <c r="H1887" s="51">
        <f>G1887-F1887</f>
        <v>171600</v>
      </c>
      <c r="I1887" s="52">
        <f>H1887/G1887</f>
        <v>0.6</v>
      </c>
      <c r="J1887" s="53" t="n"/>
      <c r="K1887" s="54" t="n"/>
    </row>
    <row r="1888">
      <c r="A1888" s="39" t="inlineStr">
        <is>
          <t>Yves Saint Laurent</t>
        </is>
      </c>
      <c r="B1888" s="47" t="inlineStr">
        <is>
          <t>(YSL) YVES SAINT LAURENT LIBRE FLOWERS FLAMES EDP 90ML FEM</t>
        </is>
      </c>
      <c r="C1888" s="48" t="n">
        <v>90</v>
      </c>
      <c r="D1888" s="49" t="inlineStr">
        <is>
          <t>Diseñador</t>
        </is>
      </c>
      <c r="E1888" s="50" t="n">
        <v>108</v>
      </c>
      <c r="F1888" s="51">
        <f>E1888*$B$5*(1+$B$6)</f>
        <v>140400</v>
      </c>
      <c r="G1888" s="51">
        <f>F1888*$B$7</f>
        <v>351000</v>
      </c>
      <c r="H1888" s="51">
        <f>G1888-F1888</f>
        <v>210600</v>
      </c>
      <c r="I1888" s="52">
        <f>H1888/G1888</f>
        <v>0.6</v>
      </c>
      <c r="J1888" s="53" t="n"/>
      <c r="K1888" s="54" t="n"/>
    </row>
    <row r="1889">
      <c r="A1889" s="39" t="inlineStr">
        <is>
          <t>Yves Saint Laurent</t>
        </is>
      </c>
      <c r="B1889" s="47" t="inlineStr">
        <is>
          <t>(YSL) YVES SAINT LAURENT LIBRE L'EAU NUE PARFUM DE PEAU 90ML FEM</t>
        </is>
      </c>
      <c r="C1889" s="48" t="n">
        <v>90</v>
      </c>
      <c r="D1889" s="49" t="inlineStr">
        <is>
          <t>Diseñador</t>
        </is>
      </c>
      <c r="E1889" s="50" t="n">
        <v>103</v>
      </c>
      <c r="F1889" s="51">
        <f>E1889*$B$5*(1+$B$6)</f>
        <v>133900</v>
      </c>
      <c r="G1889" s="51">
        <f>F1889*$B$7</f>
        <v>334750</v>
      </c>
      <c r="H1889" s="51">
        <f>G1889-F1889</f>
        <v>200850</v>
      </c>
      <c r="I1889" s="52">
        <f>H1889/G1889</f>
        <v>0.6</v>
      </c>
      <c r="J1889" s="53" t="n"/>
      <c r="K1889" s="54" t="n"/>
    </row>
    <row r="1890">
      <c r="A1890" s="39" t="inlineStr">
        <is>
          <t>Yves Saint Laurent</t>
        </is>
      </c>
      <c r="B1890" s="47" t="inlineStr">
        <is>
          <t>(YSL) YVES SAINT LAURENT MON PARIS EDP 90ML</t>
        </is>
      </c>
      <c r="C1890" s="48" t="n">
        <v>90</v>
      </c>
      <c r="D1890" s="49" t="inlineStr">
        <is>
          <t>Diseñador</t>
        </is>
      </c>
      <c r="E1890" s="50" t="n">
        <v>95</v>
      </c>
      <c r="F1890" s="51">
        <f>E1890*$B$5*(1+$B$6)</f>
        <v>123500</v>
      </c>
      <c r="G1890" s="51">
        <f>F1890*$B$7</f>
        <v>308750</v>
      </c>
      <c r="H1890" s="51">
        <f>G1890-F1890</f>
        <v>185250</v>
      </c>
      <c r="I1890" s="52">
        <f>H1890/G1890</f>
        <v>0.6</v>
      </c>
      <c r="J1890" s="53" t="n"/>
      <c r="K1890" s="54" t="n"/>
    </row>
    <row r="1891">
      <c r="A1891" s="39" t="inlineStr">
        <is>
          <t>Yves Saint Laurent</t>
        </is>
      </c>
      <c r="B1891" s="47" t="inlineStr">
        <is>
          <t>(YSL) YVES SAINT LAURENT MYSLF EDP 100ML MASC</t>
        </is>
      </c>
      <c r="C1891" s="48" t="n">
        <v>100</v>
      </c>
      <c r="D1891" s="49" t="inlineStr">
        <is>
          <t>Diseñador</t>
        </is>
      </c>
      <c r="E1891" s="50" t="n">
        <v>109</v>
      </c>
      <c r="F1891" s="51">
        <f>E1891*$B$5*(1+$B$6)</f>
        <v>141700</v>
      </c>
      <c r="G1891" s="51">
        <f>F1891*$B$7</f>
        <v>354250</v>
      </c>
      <c r="H1891" s="51">
        <f>G1891-F1891</f>
        <v>212550</v>
      </c>
      <c r="I1891" s="52">
        <f>H1891/G1891</f>
        <v>0.6</v>
      </c>
      <c r="J1891" s="53" t="n"/>
      <c r="K1891" s="54" t="n"/>
    </row>
    <row r="1892">
      <c r="A1892" s="39" t="inlineStr">
        <is>
          <t>Yves Saint Laurent</t>
        </is>
      </c>
      <c r="B1892" s="47" t="inlineStr">
        <is>
          <t>(YSL) YVES SAINT LAURENT MYSLF EDP 60ML MASC</t>
        </is>
      </c>
      <c r="C1892" s="48" t="n">
        <v>60</v>
      </c>
      <c r="D1892" s="49" t="inlineStr">
        <is>
          <t>Diseñador</t>
        </is>
      </c>
      <c r="E1892" s="50" t="n">
        <v>92</v>
      </c>
      <c r="F1892" s="51">
        <f>E1892*$B$5*(1+$B$6)</f>
        <v>119600</v>
      </c>
      <c r="G1892" s="51">
        <f>F1892*$B$7</f>
        <v>299000</v>
      </c>
      <c r="H1892" s="51">
        <f>G1892-F1892</f>
        <v>179400</v>
      </c>
      <c r="I1892" s="52">
        <f>H1892/G1892</f>
        <v>0.6</v>
      </c>
      <c r="J1892" s="53" t="n"/>
      <c r="K1892" s="54" t="n"/>
    </row>
    <row r="1893">
      <c r="A1893" s="39" t="inlineStr">
        <is>
          <t>Yves Saint Laurent</t>
        </is>
      </c>
      <c r="B1893" s="47" t="inlineStr">
        <is>
          <t>(YSL) YVES SAINT LAURENT MYSLF LE PARFUM 100ML</t>
        </is>
      </c>
      <c r="C1893" s="48" t="n">
        <v>100</v>
      </c>
      <c r="D1893" s="49" t="inlineStr">
        <is>
          <t>Diseñador</t>
        </is>
      </c>
      <c r="E1893" s="50" t="n">
        <v>123</v>
      </c>
      <c r="F1893" s="51">
        <f>E1893*$B$5*(1+$B$6)</f>
        <v>159900</v>
      </c>
      <c r="G1893" s="51">
        <f>F1893*$B$7</f>
        <v>399750</v>
      </c>
      <c r="H1893" s="51">
        <f>G1893-F1893</f>
        <v>239850</v>
      </c>
      <c r="I1893" s="52">
        <f>H1893/G1893</f>
        <v>0.6</v>
      </c>
      <c r="J1893" s="53" t="n"/>
      <c r="K1893" s="54" t="n"/>
    </row>
    <row r="1894">
      <c r="A1894" s="39" t="inlineStr">
        <is>
          <t>Yves Saint Laurent</t>
        </is>
      </c>
      <c r="B1894" s="47" t="inlineStr">
        <is>
          <t>(YSL) YVES SAINT LAURENT PARIS EDT FEMININO 125ML</t>
        </is>
      </c>
      <c r="C1894" s="48" t="n">
        <v>125</v>
      </c>
      <c r="D1894" s="49" t="inlineStr">
        <is>
          <t>Diseñador</t>
        </is>
      </c>
      <c r="E1894" s="50" t="n">
        <v>80</v>
      </c>
      <c r="F1894" s="51">
        <f>E1894*$B$5*(1+$B$6)</f>
        <v>104000</v>
      </c>
      <c r="G1894" s="51">
        <f>F1894*$B$7</f>
        <v>260000</v>
      </c>
      <c r="H1894" s="51">
        <f>G1894-F1894</f>
        <v>156000</v>
      </c>
      <c r="I1894" s="52">
        <f>H1894/G1894</f>
        <v>0.6</v>
      </c>
      <c r="J1894" s="53" t="n"/>
      <c r="K1894" s="54" t="n"/>
    </row>
    <row r="1895">
      <c r="A1895" s="39" t="inlineStr">
        <is>
          <t>Yves Saint Laurent</t>
        </is>
      </c>
      <c r="B1895" s="47" t="inlineStr">
        <is>
          <t>(YSL) YVES SAINT LAURENT RIVE GAUCHE EDT 100ML</t>
        </is>
      </c>
      <c r="C1895" s="48" t="n">
        <v>100</v>
      </c>
      <c r="D1895" s="49" t="inlineStr">
        <is>
          <t>Diseñador</t>
        </is>
      </c>
      <c r="E1895" s="50" t="n">
        <v>70</v>
      </c>
      <c r="F1895" s="51">
        <f>E1895*$B$5*(1+$B$6)</f>
        <v>91000</v>
      </c>
      <c r="G1895" s="51">
        <f>F1895*$B$7</f>
        <v>227500</v>
      </c>
      <c r="H1895" s="51">
        <f>G1895-F1895</f>
        <v>136500</v>
      </c>
      <c r="I1895" s="52">
        <f>H1895/G1895</f>
        <v>0.6</v>
      </c>
      <c r="J1895" s="53" t="n"/>
      <c r="K1895" s="54" t="n"/>
    </row>
    <row r="1896">
      <c r="A1896" s="39" t="inlineStr">
        <is>
          <t>Yves Saint Laurent</t>
        </is>
      </c>
      <c r="B1896" s="47" t="inlineStr">
        <is>
          <t>(YSL) YVES SAINT LAURENT Y EDP 100ML MASC</t>
        </is>
      </c>
      <c r="C1896" s="48" t="n">
        <v>100</v>
      </c>
      <c r="D1896" s="49" t="inlineStr">
        <is>
          <t>Diseñador</t>
        </is>
      </c>
      <c r="E1896" s="50" t="n">
        <v>100</v>
      </c>
      <c r="F1896" s="51">
        <f>E1896*$B$5*(1+$B$6)</f>
        <v>130000</v>
      </c>
      <c r="G1896" s="51">
        <f>F1896*$B$7</f>
        <v>325000</v>
      </c>
      <c r="H1896" s="51">
        <f>G1896-F1896</f>
        <v>195000</v>
      </c>
      <c r="I1896" s="52">
        <f>H1896/G1896</f>
        <v>0.6</v>
      </c>
      <c r="J1896" s="53" t="n"/>
      <c r="K1896" s="54" t="n"/>
    </row>
    <row r="1897">
      <c r="A1897" s="39" t="inlineStr">
        <is>
          <t>Yves Saint Laurent</t>
        </is>
      </c>
      <c r="B1897" s="47" t="inlineStr">
        <is>
          <t>(YSL) YVES SAINT LAURENT Y EDT 100ML MASC</t>
        </is>
      </c>
      <c r="C1897" s="48" t="n">
        <v>100</v>
      </c>
      <c r="D1897" s="49" t="inlineStr">
        <is>
          <t>Diseñador</t>
        </is>
      </c>
      <c r="E1897" s="50" t="n">
        <v>87</v>
      </c>
      <c r="F1897" s="51">
        <f>E1897*$B$5*(1+$B$6)</f>
        <v>113100</v>
      </c>
      <c r="G1897" s="51">
        <f>F1897*$B$7</f>
        <v>282750</v>
      </c>
      <c r="H1897" s="51">
        <f>G1897-F1897</f>
        <v>169650</v>
      </c>
      <c r="I1897" s="52">
        <f>H1897/G1897</f>
        <v>0.6</v>
      </c>
      <c r="J1897" s="53" t="n"/>
      <c r="K1897" s="54" t="n"/>
    </row>
    <row r="1898">
      <c r="A1898" s="39" t="inlineStr">
        <is>
          <t>Yves Saint Laurent</t>
        </is>
      </c>
      <c r="B1898" s="47" t="inlineStr">
        <is>
          <t>(YSL) YVES SAINT LAURENT Y ELIXIR PARFUM 60ML MASC</t>
        </is>
      </c>
      <c r="C1898" s="48" t="n">
        <v>60</v>
      </c>
      <c r="D1898" s="49" t="inlineStr">
        <is>
          <t>Diseñador</t>
        </is>
      </c>
      <c r="E1898" s="50" t="n">
        <v>108</v>
      </c>
      <c r="F1898" s="51">
        <f>E1898*$B$5*(1+$B$6)</f>
        <v>140400</v>
      </c>
      <c r="G1898" s="51">
        <f>F1898*$B$7</f>
        <v>351000</v>
      </c>
      <c r="H1898" s="51">
        <f>G1898-F1898</f>
        <v>210600</v>
      </c>
      <c r="I1898" s="52">
        <f>H1898/G1898</f>
        <v>0.6</v>
      </c>
      <c r="J1898" s="53" t="n"/>
      <c r="K1898" s="54" t="n"/>
    </row>
    <row r="1899">
      <c r="A1899" s="39" t="inlineStr">
        <is>
          <t>Yves Saint Laurent</t>
        </is>
      </c>
      <c r="B1899" s="47" t="inlineStr">
        <is>
          <t>(YSL) YVES SAINT LAURENT Y ICED COLOGNE EDT INTENSE 100ML</t>
        </is>
      </c>
      <c r="C1899" s="48" t="n">
        <v>100</v>
      </c>
      <c r="D1899" s="49" t="inlineStr">
        <is>
          <t>Diseñador</t>
        </is>
      </c>
      <c r="E1899" s="50" t="n">
        <v>115</v>
      </c>
      <c r="F1899" s="51">
        <f>E1899*$B$5*(1+$B$6)</f>
        <v>149500</v>
      </c>
      <c r="G1899" s="51">
        <f>F1899*$B$7</f>
        <v>373750</v>
      </c>
      <c r="H1899" s="51">
        <f>G1899-F1899</f>
        <v>224250</v>
      </c>
      <c r="I1899" s="52">
        <f>H1899/G1899</f>
        <v>0.6</v>
      </c>
      <c r="J1899" s="53" t="n"/>
      <c r="K1899" s="54" t="n"/>
    </row>
    <row r="1900">
      <c r="A1900" s="39" t="inlineStr">
        <is>
          <t>Yves Saint Laurent</t>
        </is>
      </c>
      <c r="B1900" s="47" t="inlineStr">
        <is>
          <t>(YSL) YVES SAINT LAURENT Y INTENSE EDP 100ML</t>
        </is>
      </c>
      <c r="C1900" s="48" t="n">
        <v>100</v>
      </c>
      <c r="D1900" s="49" t="inlineStr">
        <is>
          <t>Diseñador</t>
        </is>
      </c>
      <c r="E1900" s="50" t="n">
        <v>106</v>
      </c>
      <c r="F1900" s="51">
        <f>E1900*$B$5*(1+$B$6)</f>
        <v>137800</v>
      </c>
      <c r="G1900" s="51">
        <f>F1900*$B$7</f>
        <v>344500</v>
      </c>
      <c r="H1900" s="51">
        <f>G1900-F1900</f>
        <v>206700</v>
      </c>
      <c r="I1900" s="52">
        <f>H1900/G1900</f>
        <v>0.6</v>
      </c>
      <c r="J1900" s="53" t="n"/>
      <c r="K1900" s="54" t="n"/>
    </row>
    <row r="1901">
      <c r="A1901" s="39" t="inlineStr">
        <is>
          <t>Yves Saint Laurent</t>
        </is>
      </c>
      <c r="B1901" s="47" t="inlineStr">
        <is>
          <t>(YSL) YVES SAINT LAURENT Y INTENSE EDP 60ML</t>
        </is>
      </c>
      <c r="C1901" s="48" t="n">
        <v>60</v>
      </c>
      <c r="D1901" s="49" t="inlineStr">
        <is>
          <t>Diseñador</t>
        </is>
      </c>
      <c r="E1901" s="50" t="n">
        <v>83</v>
      </c>
      <c r="F1901" s="51">
        <f>E1901*$B$5*(1+$B$6)</f>
        <v>107900</v>
      </c>
      <c r="G1901" s="51">
        <f>F1901*$B$7</f>
        <v>269750</v>
      </c>
      <c r="H1901" s="51">
        <f>G1901-F1901</f>
        <v>161850</v>
      </c>
      <c r="I1901" s="52">
        <f>H1901/G1901</f>
        <v>0.6</v>
      </c>
      <c r="J1901" s="53" t="n"/>
      <c r="K1901" s="54" t="n"/>
    </row>
    <row r="1902">
      <c r="A1902" s="39" t="inlineStr">
        <is>
          <t>Yves Saint Laurent</t>
        </is>
      </c>
      <c r="B1902" s="47" t="inlineStr">
        <is>
          <t>(YSL) YVES SAINT LAURENT Y LE PARFUM 100ML MASC</t>
        </is>
      </c>
      <c r="C1902" s="48" t="n">
        <v>100</v>
      </c>
      <c r="D1902" s="49" t="inlineStr">
        <is>
          <t>Diseñador</t>
        </is>
      </c>
      <c r="E1902" s="50" t="n">
        <v>109</v>
      </c>
      <c r="F1902" s="51">
        <f>E1902*$B$5*(1+$B$6)</f>
        <v>141700</v>
      </c>
      <c r="G1902" s="51">
        <f>F1902*$B$7</f>
        <v>354250</v>
      </c>
      <c r="H1902" s="51">
        <f>G1902-F1902</f>
        <v>212550</v>
      </c>
      <c r="I1902" s="52">
        <f>H1902/G1902</f>
        <v>0.6</v>
      </c>
      <c r="J1902" s="53" t="n"/>
      <c r="K1902" s="54" t="n"/>
    </row>
    <row r="1903">
      <c r="A1903" s="39" t="inlineStr">
        <is>
          <t>Yves Saint Laurent</t>
        </is>
      </c>
      <c r="B1903" s="47" t="inlineStr">
        <is>
          <t>Libre Le Parfum (fem)</t>
        </is>
      </c>
      <c r="C1903" s="48" t="n">
        <v>90</v>
      </c>
      <c r="D1903" s="49" t="inlineStr">
        <is>
          <t>Diseñador</t>
        </is>
      </c>
      <c r="E1903" s="50" t="n">
        <v>116</v>
      </c>
      <c r="F1903" s="51">
        <f>E1903*$B$5*(1+$B$6)</f>
        <v>150800</v>
      </c>
      <c r="G1903" s="51">
        <f>F1903*$B$7</f>
        <v>377000</v>
      </c>
      <c r="H1903" s="51">
        <f>G1903-F1903</f>
        <v>226200</v>
      </c>
      <c r="I1903" s="52">
        <f>H1903/G1903</f>
        <v>0.6</v>
      </c>
      <c r="J1903" s="53" t="n"/>
      <c r="K1903" s="54" t="inlineStr">
        <is>
          <t>Alta gama, ticket alto</t>
        </is>
      </c>
    </row>
    <row r="1904">
      <c r="A1904" s="39" t="inlineStr">
        <is>
          <t>Yves Saint Laurent</t>
        </is>
      </c>
      <c r="B1904" s="47" t="inlineStr">
        <is>
          <t>TESTER YVES SAINT LAURENT BLACK OPIUM EDP INTENSE 90ML C/T</t>
        </is>
      </c>
      <c r="C1904" s="48" t="n">
        <v>90</v>
      </c>
      <c r="D1904" s="49" t="inlineStr">
        <is>
          <t>Tester</t>
        </is>
      </c>
      <c r="E1904" s="50" t="n">
        <v>75</v>
      </c>
      <c r="F1904" s="51">
        <f>E1904*$B$5*(1+$B$6)</f>
        <v>97500</v>
      </c>
      <c r="G1904" s="51">
        <f>F1904*$B$7</f>
        <v>243750</v>
      </c>
      <c r="H1904" s="51">
        <f>G1904-F1904</f>
        <v>146250</v>
      </c>
      <c r="I1904" s="52">
        <f>H1904/G1904</f>
        <v>0.6</v>
      </c>
      <c r="J1904" s="53" t="n"/>
      <c r="K1904" s="54" t="n"/>
    </row>
    <row r="1905">
      <c r="A1905" s="39" t="inlineStr">
        <is>
          <t>Yves Saint Laurent</t>
        </is>
      </c>
      <c r="B1905" s="47" t="inlineStr">
        <is>
          <t>TESTER YVES SAINT LAURENT BLACK OPIUM GLITTER EDP 90ML C/T</t>
        </is>
      </c>
      <c r="C1905" s="48" t="n">
        <v>90</v>
      </c>
      <c r="D1905" s="49" t="inlineStr">
        <is>
          <t>Tester</t>
        </is>
      </c>
      <c r="E1905" s="50" t="n">
        <v>85</v>
      </c>
      <c r="F1905" s="51">
        <f>E1905*$B$5*(1+$B$6)</f>
        <v>110500</v>
      </c>
      <c r="G1905" s="51">
        <f>F1905*$B$7</f>
        <v>276250</v>
      </c>
      <c r="H1905" s="51">
        <f>G1905-F1905</f>
        <v>165750</v>
      </c>
      <c r="I1905" s="52">
        <f>H1905/G1905</f>
        <v>0.6</v>
      </c>
      <c r="J1905" s="53" t="n"/>
      <c r="K1905" s="54" t="n"/>
    </row>
    <row r="1906">
      <c r="A1906" s="39" t="inlineStr">
        <is>
          <t>Yves Saint Laurent</t>
        </is>
      </c>
      <c r="B1906" s="47" t="inlineStr">
        <is>
          <t>TESTER YVES SAINT LAURENT BLACK OPIUM OVER RED EDP 90ML</t>
        </is>
      </c>
      <c r="C1906" s="48" t="n">
        <v>90</v>
      </c>
      <c r="D1906" s="49" t="inlineStr">
        <is>
          <t>Tester</t>
        </is>
      </c>
      <c r="E1906" s="50" t="n">
        <v>95</v>
      </c>
      <c r="F1906" s="51">
        <f>E1906*$B$5*(1+$B$6)</f>
        <v>123500</v>
      </c>
      <c r="G1906" s="51">
        <f>F1906*$B$7</f>
        <v>308750</v>
      </c>
      <c r="H1906" s="51">
        <f>G1906-F1906</f>
        <v>185250</v>
      </c>
      <c r="I1906" s="52">
        <f>H1906/G1906</f>
        <v>0.6</v>
      </c>
      <c r="J1906" s="53" t="n"/>
      <c r="K1906" s="54" t="n"/>
    </row>
    <row r="1907">
      <c r="A1907" s="39" t="inlineStr">
        <is>
          <t>Yves Saint Laurent</t>
        </is>
      </c>
      <c r="B1907" s="47" t="inlineStr">
        <is>
          <t>TESTER YVES SAINT LAURENT L'HOMME EDT 100ML</t>
        </is>
      </c>
      <c r="C1907" s="48" t="n">
        <v>100</v>
      </c>
      <c r="D1907" s="49" t="inlineStr">
        <is>
          <t>Tester</t>
        </is>
      </c>
      <c r="E1907" s="50" t="n">
        <v>65</v>
      </c>
      <c r="F1907" s="51">
        <f>E1907*$B$5*(1+$B$6)</f>
        <v>84500</v>
      </c>
      <c r="G1907" s="51">
        <f>F1907*$B$7</f>
        <v>211250</v>
      </c>
      <c r="H1907" s="51">
        <f>G1907-F1907</f>
        <v>126750</v>
      </c>
      <c r="I1907" s="52">
        <f>H1907/G1907</f>
        <v>0.6</v>
      </c>
      <c r="J1907" s="53" t="n"/>
      <c r="K1907" s="54" t="n"/>
    </row>
    <row r="1908">
      <c r="A1908" s="39" t="inlineStr">
        <is>
          <t>Yves Saint Laurent</t>
        </is>
      </c>
      <c r="B1908" s="47" t="inlineStr">
        <is>
          <t>TESTER YVES SAINT LAURENT LIBRE EDT 90ML FEM</t>
        </is>
      </c>
      <c r="C1908" s="48" t="n">
        <v>90</v>
      </c>
      <c r="D1908" s="49" t="inlineStr">
        <is>
          <t>Tester</t>
        </is>
      </c>
      <c r="E1908" s="50" t="n">
        <v>92</v>
      </c>
      <c r="F1908" s="51">
        <f>E1908*$B$5*(1+$B$6)</f>
        <v>119600</v>
      </c>
      <c r="G1908" s="51">
        <f>F1908*$B$7</f>
        <v>299000</v>
      </c>
      <c r="H1908" s="51">
        <f>G1908-F1908</f>
        <v>179400</v>
      </c>
      <c r="I1908" s="52">
        <f>H1908/G1908</f>
        <v>0.6</v>
      </c>
      <c r="J1908" s="53" t="n"/>
      <c r="K1908" s="54" t="n"/>
    </row>
    <row r="1909">
      <c r="A1909" s="39" t="inlineStr">
        <is>
          <t>Yves Saint Laurent</t>
        </is>
      </c>
      <c r="B1909" s="47" t="inlineStr">
        <is>
          <t>TESTER YVES SAINT LAURENT Y MAN EDP 100ML</t>
        </is>
      </c>
      <c r="C1909" s="48" t="n">
        <v>100</v>
      </c>
      <c r="D1909" s="49" t="inlineStr">
        <is>
          <t>Tester</t>
        </is>
      </c>
      <c r="E1909" s="50" t="n">
        <v>95</v>
      </c>
      <c r="F1909" s="51">
        <f>E1909*$B$5*(1+$B$6)</f>
        <v>123500</v>
      </c>
      <c r="G1909" s="51">
        <f>F1909*$B$7</f>
        <v>308750</v>
      </c>
      <c r="H1909" s="51">
        <f>G1909-F1909</f>
        <v>185250</v>
      </c>
      <c r="I1909" s="52">
        <f>H1909/G1909</f>
        <v>0.6</v>
      </c>
      <c r="J1909" s="53" t="n"/>
      <c r="K1909" s="54" t="n"/>
    </row>
    <row r="1910">
      <c r="A1910" s="39" t="inlineStr">
        <is>
          <t>Yves Saint Laurent</t>
        </is>
      </c>
      <c r="B1910" s="47" t="inlineStr">
        <is>
          <t>TESTER YVES SAINT LAURENT Y MAN ELIXIR PARFUM 60ML</t>
        </is>
      </c>
      <c r="C1910" s="48" t="n">
        <v>60</v>
      </c>
      <c r="D1910" s="49" t="inlineStr">
        <is>
          <t>Tester</t>
        </is>
      </c>
      <c r="E1910" s="50" t="n">
        <v>95</v>
      </c>
      <c r="F1910" s="51">
        <f>E1910*$B$5*(1+$B$6)</f>
        <v>123500</v>
      </c>
      <c r="G1910" s="51">
        <f>F1910*$B$7</f>
        <v>308750</v>
      </c>
      <c r="H1910" s="51">
        <f>G1910-F1910</f>
        <v>185250</v>
      </c>
      <c r="I1910" s="52">
        <f>H1910/G1910</f>
        <v>0.6</v>
      </c>
      <c r="J1910" s="53" t="n"/>
      <c r="K1910" s="54" t="n"/>
    </row>
    <row r="1911">
      <c r="A1911" s="39" t="inlineStr">
        <is>
          <t>Zakat</t>
        </is>
      </c>
      <c r="B1911" s="47" t="inlineStr">
        <is>
          <t>ZAKAT AVITOR IBRAHIM EDP 100ML</t>
        </is>
      </c>
      <c r="C1911" s="48" t="n">
        <v>100</v>
      </c>
      <c r="D1911" s="49" t="inlineStr">
        <is>
          <t>Árabe</t>
        </is>
      </c>
      <c r="E1911" s="50" t="n">
        <v>18</v>
      </c>
      <c r="F1911" s="51">
        <f>E1911*$B$5*(1+$B$6)</f>
        <v>23400</v>
      </c>
      <c r="G1911" s="51">
        <f>F1911*$B$7</f>
        <v>58500</v>
      </c>
      <c r="H1911" s="51">
        <f>G1911-F1911</f>
        <v>35100</v>
      </c>
      <c r="I1911" s="52">
        <f>H1911/G1911</f>
        <v>0.6</v>
      </c>
      <c r="J1911" s="53" t="n"/>
      <c r="K1911" s="54" t="inlineStr">
        <is>
          <t>clon/genérico</t>
        </is>
      </c>
    </row>
    <row r="1912">
      <c r="A1912" s="39" t="inlineStr">
        <is>
          <t>Zakat</t>
        </is>
      </c>
      <c r="B1912" s="47" t="inlineStr">
        <is>
          <t>ZAKAT CRYSTAL AURUM EDP 115ML</t>
        </is>
      </c>
      <c r="C1912" s="48" t="n">
        <v>115</v>
      </c>
      <c r="D1912" s="49" t="inlineStr">
        <is>
          <t>Árabe</t>
        </is>
      </c>
      <c r="E1912" s="50" t="n">
        <v>18</v>
      </c>
      <c r="F1912" s="51">
        <f>E1912*$B$5*(1+$B$6)</f>
        <v>23400</v>
      </c>
      <c r="G1912" s="51">
        <f>F1912*$B$7</f>
        <v>58500</v>
      </c>
      <c r="H1912" s="51">
        <f>G1912-F1912</f>
        <v>35100</v>
      </c>
      <c r="I1912" s="52">
        <f>H1912/G1912</f>
        <v>0.6</v>
      </c>
      <c r="J1912" s="53" t="n"/>
      <c r="K1912" s="54" t="inlineStr">
        <is>
          <t>clon/genérico</t>
        </is>
      </c>
    </row>
    <row r="1913">
      <c r="A1913" s="39" t="inlineStr">
        <is>
          <t>Zakat</t>
        </is>
      </c>
      <c r="B1913" s="47" t="inlineStr">
        <is>
          <t>ZAKAT LAILATH AL NUJOOM STAR EDP 100ML</t>
        </is>
      </c>
      <c r="C1913" s="48" t="n">
        <v>100</v>
      </c>
      <c r="D1913" s="49" t="inlineStr">
        <is>
          <t>Árabe</t>
        </is>
      </c>
      <c r="E1913" s="50" t="n">
        <v>16</v>
      </c>
      <c r="F1913" s="51">
        <f>E1913*$B$5*(1+$B$6)</f>
        <v>20800</v>
      </c>
      <c r="G1913" s="51">
        <f>F1913*$B$7</f>
        <v>52000</v>
      </c>
      <c r="H1913" s="51">
        <f>G1913-F1913</f>
        <v>31200</v>
      </c>
      <c r="I1913" s="52">
        <f>H1913/G1913</f>
        <v>0.6</v>
      </c>
      <c r="J1913" s="53" t="n"/>
      <c r="K1913" s="54" t="inlineStr">
        <is>
          <t>clon/genérico</t>
        </is>
      </c>
    </row>
    <row r="1914">
      <c r="A1914" s="39" t="inlineStr">
        <is>
          <t>Zakat</t>
        </is>
      </c>
      <c r="B1914" s="47" t="inlineStr">
        <is>
          <t>ZAKAT LE GEMME ROSY EDP 115ML</t>
        </is>
      </c>
      <c r="C1914" s="48" t="n">
        <v>115</v>
      </c>
      <c r="D1914" s="49" t="inlineStr">
        <is>
          <t>Árabe</t>
        </is>
      </c>
      <c r="E1914" s="50" t="n">
        <v>18</v>
      </c>
      <c r="F1914" s="51">
        <f>E1914*$B$5*(1+$B$6)</f>
        <v>23400</v>
      </c>
      <c r="G1914" s="51">
        <f>F1914*$B$7</f>
        <v>58500</v>
      </c>
      <c r="H1914" s="51">
        <f>G1914-F1914</f>
        <v>35100</v>
      </c>
      <c r="I1914" s="52">
        <f>H1914/G1914</f>
        <v>0.6</v>
      </c>
      <c r="J1914" s="53" t="n"/>
      <c r="K1914" s="54" t="inlineStr">
        <is>
          <t>clon/genérico</t>
        </is>
      </c>
    </row>
    <row r="1915">
      <c r="A1915" s="39" t="inlineStr">
        <is>
          <t>Zakat</t>
        </is>
      </c>
      <c r="B1915" s="47" t="inlineStr">
        <is>
          <t>ZAKAT ROAR TIGER EYE EDP 100ML</t>
        </is>
      </c>
      <c r="C1915" s="48" t="n">
        <v>100</v>
      </c>
      <c r="D1915" s="49" t="inlineStr">
        <is>
          <t>Árabe</t>
        </is>
      </c>
      <c r="E1915" s="50" t="n">
        <v>25</v>
      </c>
      <c r="F1915" s="51">
        <f>E1915*$B$5*(1+$B$6)</f>
        <v>32500</v>
      </c>
      <c r="G1915" s="51">
        <f>F1915*$B$7</f>
        <v>81250</v>
      </c>
      <c r="H1915" s="51">
        <f>G1915-F1915</f>
        <v>48750</v>
      </c>
      <c r="I1915" s="52">
        <f>H1915/G1915</f>
        <v>0.6</v>
      </c>
      <c r="J1915" s="53" t="n"/>
      <c r="K1915" s="54" t="inlineStr">
        <is>
          <t>clon/genérico</t>
        </is>
      </c>
    </row>
    <row r="1916">
      <c r="A1916" s="39" t="inlineStr">
        <is>
          <t>Zakat</t>
        </is>
      </c>
      <c r="B1916" s="47" t="inlineStr">
        <is>
          <t>ZAKAT SECRET OF AR. VIOLET EDP 100ML</t>
        </is>
      </c>
      <c r="C1916" s="48" t="n">
        <v>100</v>
      </c>
      <c r="D1916" s="49" t="inlineStr">
        <is>
          <t>Árabe</t>
        </is>
      </c>
      <c r="E1916" s="50" t="n">
        <v>16</v>
      </c>
      <c r="F1916" s="51">
        <f>E1916*$B$5*(1+$B$6)</f>
        <v>20800</v>
      </c>
      <c r="G1916" s="51">
        <f>F1916*$B$7</f>
        <v>52000</v>
      </c>
      <c r="H1916" s="51">
        <f>G1916-F1916</f>
        <v>31200</v>
      </c>
      <c r="I1916" s="52">
        <f>H1916/G1916</f>
        <v>0.6</v>
      </c>
      <c r="J1916" s="53" t="n"/>
      <c r="K1916" s="54" t="inlineStr">
        <is>
          <t>clon/genérico</t>
        </is>
      </c>
    </row>
    <row r="1917">
      <c r="A1917" s="39" t="inlineStr">
        <is>
          <t>Zakat</t>
        </is>
      </c>
      <c r="B1917" s="47" t="inlineStr">
        <is>
          <t>ZAKAT TURBO GTS EDP 100ML</t>
        </is>
      </c>
      <c r="C1917" s="48" t="n">
        <v>100</v>
      </c>
      <c r="D1917" s="49" t="inlineStr">
        <is>
          <t>Árabe</t>
        </is>
      </c>
      <c r="E1917" s="50" t="n">
        <v>22</v>
      </c>
      <c r="F1917" s="51">
        <f>E1917*$B$5*(1+$B$6)</f>
        <v>28600</v>
      </c>
      <c r="G1917" s="51">
        <f>F1917*$B$7</f>
        <v>71500</v>
      </c>
      <c r="H1917" s="51">
        <f>G1917-F1917</f>
        <v>42900</v>
      </c>
      <c r="I1917" s="52">
        <f>H1917/G1917</f>
        <v>0.6</v>
      </c>
      <c r="J1917" s="53" t="n"/>
      <c r="K1917" s="54" t="inlineStr">
        <is>
          <t>clon/genérico</t>
        </is>
      </c>
    </row>
    <row r="1918">
      <c r="A1918" s="39" t="inlineStr">
        <is>
          <t>Zakat</t>
        </is>
      </c>
      <c r="B1918" s="47" t="inlineStr">
        <is>
          <t>ZAKAT TURBO SPORT EDP 100ML</t>
        </is>
      </c>
      <c r="C1918" s="48" t="n">
        <v>100</v>
      </c>
      <c r="D1918" s="49" t="inlineStr">
        <is>
          <t>Árabe</t>
        </is>
      </c>
      <c r="E1918" s="50" t="n">
        <v>22</v>
      </c>
      <c r="F1918" s="51">
        <f>E1918*$B$5*(1+$B$6)</f>
        <v>28600</v>
      </c>
      <c r="G1918" s="51">
        <f>F1918*$B$7</f>
        <v>71500</v>
      </c>
      <c r="H1918" s="51">
        <f>G1918-F1918</f>
        <v>42900</v>
      </c>
      <c r="I1918" s="52">
        <f>H1918/G1918</f>
        <v>0.6</v>
      </c>
      <c r="J1918" s="53" t="n"/>
      <c r="K1918" s="54" t="inlineStr">
        <is>
          <t>clon/genérico</t>
        </is>
      </c>
    </row>
    <row r="1919">
      <c r="A1919" s="39" t="inlineStr">
        <is>
          <t>Zakat</t>
        </is>
      </c>
      <c r="B1919" s="47" t="inlineStr">
        <is>
          <t>ZAKAT Z37 EDP 100ML</t>
        </is>
      </c>
      <c r="C1919" s="48" t="n">
        <v>100</v>
      </c>
      <c r="D1919" s="49" t="inlineStr">
        <is>
          <t>Árabe</t>
        </is>
      </c>
      <c r="E1919" s="50" t="n">
        <v>26</v>
      </c>
      <c r="F1919" s="51">
        <f>E1919*$B$5*(1+$B$6)</f>
        <v>33800</v>
      </c>
      <c r="G1919" s="51">
        <f>F1919*$B$7</f>
        <v>84500</v>
      </c>
      <c r="H1919" s="51">
        <f>G1919-F1919</f>
        <v>50700</v>
      </c>
      <c r="I1919" s="52">
        <f>H1919/G1919</f>
        <v>0.6</v>
      </c>
      <c r="J1919" s="53" t="n"/>
      <c r="K1919" s="54" t="inlineStr">
        <is>
          <t>clon/genérico</t>
        </is>
      </c>
    </row>
    <row r="1920">
      <c r="A1920" s="39" t="inlineStr">
        <is>
          <t>Zimaya</t>
        </is>
      </c>
      <c r="B1920" s="47" t="inlineStr">
        <is>
          <t>ZIMAYA FATIMA VELVET LOVE EXTRAIT DE PARFUM 100ML FEM</t>
        </is>
      </c>
      <c r="C1920" s="48" t="n">
        <v>100</v>
      </c>
      <c r="D1920" s="49" t="inlineStr">
        <is>
          <t>Árabe</t>
        </is>
      </c>
      <c r="E1920" s="50" t="n">
        <v>15.95</v>
      </c>
      <c r="F1920" s="51">
        <f>E1920*$B$5*(1+$B$6)</f>
        <v>20735</v>
      </c>
      <c r="G1920" s="51">
        <f>F1920*$B$7</f>
        <v>51837.5</v>
      </c>
      <c r="H1920" s="51">
        <f>G1920-F1920</f>
        <v>31102.5</v>
      </c>
      <c r="I1920" s="52">
        <f>H1920/G1920</f>
        <v>0.6</v>
      </c>
      <c r="J1920" s="53" t="n"/>
      <c r="K1920" s="54" t="n"/>
    </row>
    <row r="1921">
      <c r="A1921" s="39" t="inlineStr">
        <is>
          <t>Zimaya</t>
        </is>
      </c>
      <c r="B1921" s="47" t="inlineStr">
        <is>
          <t>ZIMAYA HAYAM EDP 100ML</t>
        </is>
      </c>
      <c r="C1921" s="48" t="n">
        <v>100</v>
      </c>
      <c r="D1921" s="49" t="inlineStr">
        <is>
          <t>Árabe</t>
        </is>
      </c>
      <c r="E1921" s="50" t="n">
        <v>15.99</v>
      </c>
      <c r="F1921" s="51">
        <f>E1921*$B$5*(1+$B$6)</f>
        <v>20787</v>
      </c>
      <c r="G1921" s="51">
        <f>F1921*$B$7</f>
        <v>51967.5</v>
      </c>
      <c r="H1921" s="51">
        <f>G1921-F1921</f>
        <v>31180.5</v>
      </c>
      <c r="I1921" s="52">
        <f>H1921/G1921</f>
        <v>0.6</v>
      </c>
      <c r="J1921" s="53" t="n"/>
      <c r="K1921" s="54" t="n"/>
    </row>
    <row r="1922">
      <c r="A1922" s="39" t="inlineStr">
        <is>
          <t>Zimaya</t>
        </is>
      </c>
      <c r="B1922" s="47" t="inlineStr">
        <is>
          <t>ZIMAYA TIRAMISU COCO EDP 100ML</t>
        </is>
      </c>
      <c r="C1922" s="48" t="n">
        <v>100</v>
      </c>
      <c r="D1922" s="49" t="inlineStr">
        <is>
          <t>Árabe</t>
        </is>
      </c>
      <c r="E1922" s="50" t="n">
        <v>20</v>
      </c>
      <c r="F1922" s="51">
        <f>E1922*$B$5*(1+$B$6)</f>
        <v>26000</v>
      </c>
      <c r="G1922" s="51">
        <f>F1922*$B$7</f>
        <v>65000</v>
      </c>
      <c r="H1922" s="51">
        <f>G1922-F1922</f>
        <v>39000</v>
      </c>
      <c r="I1922" s="52">
        <f>H1922/G1922</f>
        <v>0.6</v>
      </c>
      <c r="J1922" s="53" t="n"/>
      <c r="K1922" s="54" t="n"/>
    </row>
    <row r="1924">
      <c r="A1924" s="55" t="inlineStr">
        <is>
          <t>RESUMEN</t>
        </is>
      </c>
    </row>
    <row r="1925">
      <c r="A1925" t="inlineStr">
        <is>
          <t>Margen % promedio (todos)</t>
        </is>
      </c>
      <c r="I1925" s="56">
        <f>AVERAGE(I10:I1922)</f>
        <v>0.6</v>
      </c>
    </row>
    <row r="1926">
      <c r="A1926" t="inlineStr">
        <is>
          <t>Costo total si compro 1 de c/u (ARS)</t>
        </is>
      </c>
      <c r="F1926" s="57">
        <f>SUM(F10:F1922)</f>
        <v>184635503</v>
      </c>
    </row>
    <row r="1927">
      <c r="A1927" t="inlineStr">
        <is>
          <t>Margen total potencial (1 de c/u, ARS)</t>
        </is>
      </c>
      <c r="H1927" s="57">
        <f>SUM(H10:H1922)</f>
        <v>276953254.5</v>
      </c>
    </row>
    <row r="1928">
      <c r="A1928" t="inlineStr">
        <is>
          <t># de productos en catálogo</t>
        </is>
      </c>
      <c r="C1928">
        <f>COUNTA(B10:B1922)</f>
        <v>1913</v>
      </c>
    </row>
  </sheetData>
  <mergeCells count="8">
    <mergeCell ref="C7:K7"/>
    <mergeCell ref="C5:K5"/>
    <mergeCell ref="A43:B43"/>
    <mergeCell ref="A1924:B1924"/>
    <mergeCell ref="A2:K2"/>
    <mergeCell ref="A4:C4"/>
    <mergeCell ref="A1:K1"/>
    <mergeCell ref="C6:K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5" min="1" max="1"/>
    <col width="12" customWidth="1" style="35" min="2" max="2"/>
    <col width="15" customWidth="1" style="35" min="3" max="3"/>
    <col width="15" customWidth="1" style="35" min="4" max="4"/>
    <col width="18" customWidth="1" style="35" min="5" max="5"/>
    <col width="16" customWidth="1" style="35" min="6" max="6"/>
  </cols>
  <sheetData>
    <row r="1">
      <c r="A1" s="58" t="inlineStr">
        <is>
          <t>Marca</t>
        </is>
      </c>
      <c r="B1" s="58" t="inlineStr">
        <is>
          <t># productos</t>
        </is>
      </c>
      <c r="C1" s="58" t="inlineStr">
        <is>
          <t>Costo USD mín</t>
        </is>
      </c>
      <c r="D1" s="58" t="inlineStr">
        <is>
          <t>Costo USD máx</t>
        </is>
      </c>
      <c r="E1" s="58" t="inlineStr">
        <is>
          <t>Costo USD promedio</t>
        </is>
      </c>
      <c r="F1" s="58" t="inlineStr">
        <is>
          <t>Margen % promedio</t>
        </is>
      </c>
    </row>
    <row r="2">
      <c r="A2" t="inlineStr">
        <is>
          <t>Lattafa</t>
        </is>
      </c>
      <c r="B2">
        <f>COUNTIF(Modelo!$A$10:$A$1922,$A2)</f>
        <v>151</v>
      </c>
      <c r="C2" s="59">
        <f>MINIFS(Modelo!$E$10:$E$1922,Modelo!$A$10:$A$1922,$A2)</f>
        <v>2.75</v>
      </c>
      <c r="D2" s="59">
        <f>MAXIFS(Modelo!$E$10:$E$1922,Modelo!$A$10:$A$1922,$A2)</f>
        <v>43</v>
      </c>
      <c r="E2" s="59">
        <f>AVERAGEIF(Modelo!$A$10:$A$1922,$A2,Modelo!$E$10:$E$1922)</f>
        <v>17.51251656</v>
      </c>
      <c r="F2" s="56">
        <f>AVERAGEIF(Modelo!$A$10:$A$1922,$A2,Modelo!$I$10:$I$1922)</f>
        <v>0.6</v>
      </c>
    </row>
    <row r="3">
      <c r="A3" t="inlineStr">
        <is>
          <t>Maison Alhambra</t>
        </is>
      </c>
      <c r="B3">
        <f>COUNTIF(Modelo!$A$10:$A$1922,$A3)</f>
        <v>127</v>
      </c>
      <c r="C3" s="59">
        <f>MINIFS(Modelo!$E$10:$E$1922,Modelo!$A$10:$A$1922,$A3)</f>
        <v>2.7</v>
      </c>
      <c r="D3" s="59">
        <f>MAXIFS(Modelo!$E$10:$E$1922,Modelo!$A$10:$A$1922,$A3)</f>
        <v>24</v>
      </c>
      <c r="E3" s="59">
        <f>AVERAGEIF(Modelo!$A$10:$A$1922,$A3,Modelo!$E$10:$E$1922)</f>
        <v>10.33314961</v>
      </c>
      <c r="F3" s="56">
        <f>AVERAGEIF(Modelo!$A$10:$A$1922,$A3,Modelo!$I$10:$I$1922)</f>
        <v>0.6</v>
      </c>
    </row>
    <row r="4">
      <c r="A4" t="inlineStr">
        <is>
          <t>Carolina Herrera</t>
        </is>
      </c>
      <c r="B4">
        <f>COUNTIF(Modelo!$A$10:$A$1922,$A4)</f>
        <v>83</v>
      </c>
      <c r="C4" s="59">
        <f>MINIFS(Modelo!$E$10:$E$1922,Modelo!$A$10:$A$1922,$A4)</f>
        <v>41</v>
      </c>
      <c r="D4" s="59">
        <f>MAXIFS(Modelo!$E$10:$E$1922,Modelo!$A$10:$A$1922,$A4)</f>
        <v>98</v>
      </c>
      <c r="E4" s="59">
        <f>AVERAGEIF(Modelo!$A$10:$A$1922,$A4,Modelo!$E$10:$E$1922)</f>
        <v>65.69939759</v>
      </c>
      <c r="F4" s="56">
        <f>AVERAGEIF(Modelo!$A$10:$A$1922,$A4,Modelo!$I$10:$I$1922)</f>
        <v>0.6</v>
      </c>
    </row>
    <row r="5">
      <c r="A5" t="inlineStr">
        <is>
          <t>Paco Rabanne</t>
        </is>
      </c>
      <c r="B5">
        <f>COUNTIF(Modelo!$A$10:$A$1922,$A5)</f>
        <v>61</v>
      </c>
      <c r="C5" s="59">
        <f>MINIFS(Modelo!$E$10:$E$1922,Modelo!$A$10:$A$1922,$A5)</f>
        <v>28</v>
      </c>
      <c r="D5" s="59">
        <f>MAXIFS(Modelo!$E$10:$E$1922,Modelo!$A$10:$A$1922,$A5)</f>
        <v>115</v>
      </c>
      <c r="E5" s="59">
        <f>AVERAGEIF(Modelo!$A$10:$A$1922,$A5,Modelo!$E$10:$E$1922)</f>
        <v>67.02442623</v>
      </c>
      <c r="F5" s="56">
        <f>AVERAGEIF(Modelo!$A$10:$A$1922,$A5,Modelo!$I$10:$I$1922)</f>
        <v>0.6</v>
      </c>
    </row>
    <row r="6">
      <c r="A6" t="inlineStr">
        <is>
          <t>Al Haramain</t>
        </is>
      </c>
      <c r="B6">
        <f>COUNTIF(Modelo!$A$10:$A$1922,$A6)</f>
        <v>57</v>
      </c>
      <c r="C6" s="59">
        <f>MINIFS(Modelo!$E$10:$E$1922,Modelo!$A$10:$A$1922,$A6)</f>
        <v>11</v>
      </c>
      <c r="D6" s="59">
        <f>MAXIFS(Modelo!$E$10:$E$1922,Modelo!$A$10:$A$1922,$A6)</f>
        <v>130</v>
      </c>
      <c r="E6" s="59">
        <f>AVERAGEIF(Modelo!$A$10:$A$1922,$A6,Modelo!$E$10:$E$1922)</f>
        <v>43.63140351</v>
      </c>
      <c r="F6" s="56">
        <f>AVERAGEIF(Modelo!$A$10:$A$1922,$A6,Modelo!$I$10:$I$1922)</f>
        <v>0.6</v>
      </c>
    </row>
    <row r="7">
      <c r="A7" t="inlineStr">
        <is>
          <t>Chanel</t>
        </is>
      </c>
      <c r="B7">
        <f>COUNTIF(Modelo!$A$10:$A$1922,$A7)</f>
        <v>44</v>
      </c>
      <c r="C7" s="59">
        <f>MINIFS(Modelo!$E$10:$E$1922,Modelo!$A$10:$A$1922,$A7)</f>
        <v>82</v>
      </c>
      <c r="D7" s="59">
        <f>MAXIFS(Modelo!$E$10:$E$1922,Modelo!$A$10:$A$1922,$A7)</f>
        <v>265</v>
      </c>
      <c r="E7" s="59">
        <f>AVERAGEIF(Modelo!$A$10:$A$1922,$A7,Modelo!$E$10:$E$1922)</f>
        <v>135.9659091</v>
      </c>
      <c r="F7" s="56">
        <f>AVERAGEIF(Modelo!$A$10:$A$1922,$A7,Modelo!$I$10:$I$1922)</f>
        <v>0.6</v>
      </c>
    </row>
    <row r="8">
      <c r="A8" t="inlineStr">
        <is>
          <t>Armaf</t>
        </is>
      </c>
      <c r="B8">
        <f>COUNTIF(Modelo!$A$10:$A$1922,$A8)</f>
        <v>43</v>
      </c>
      <c r="C8" s="59">
        <f>MINIFS(Modelo!$E$10:$E$1922,Modelo!$A$10:$A$1922,$A8)</f>
        <v>2.75</v>
      </c>
      <c r="D8" s="59">
        <f>MAXIFS(Modelo!$E$10:$E$1922,Modelo!$A$10:$A$1922,$A8)</f>
        <v>50</v>
      </c>
      <c r="E8" s="59">
        <f>AVERAGEIF(Modelo!$A$10:$A$1922,$A8,Modelo!$E$10:$E$1922)</f>
        <v>21.42093023</v>
      </c>
      <c r="F8" s="56">
        <f>AVERAGEIF(Modelo!$A$10:$A$1922,$A8,Modelo!$I$10:$I$1922)</f>
        <v>0.6</v>
      </c>
    </row>
    <row r="9">
      <c r="A9" t="inlineStr">
        <is>
          <t>Dolce &amp; Gabbana</t>
        </is>
      </c>
      <c r="B9">
        <f>COUNTIF(Modelo!$A$10:$A$1922,$A9)</f>
        <v>43</v>
      </c>
      <c r="C9" s="59">
        <f>MINIFS(Modelo!$E$10:$E$1922,Modelo!$A$10:$A$1922,$A9)</f>
        <v>38</v>
      </c>
      <c r="D9" s="59">
        <f>MAXIFS(Modelo!$E$10:$E$1922,Modelo!$A$10:$A$1922,$A9)</f>
        <v>95</v>
      </c>
      <c r="E9" s="59">
        <f>AVERAGEIF(Modelo!$A$10:$A$1922,$A9,Modelo!$E$10:$E$1922)</f>
        <v>58.73023256</v>
      </c>
      <c r="F9" s="56">
        <f>AVERAGEIF(Modelo!$A$10:$A$1922,$A9,Modelo!$I$10:$I$1922)</f>
        <v>0.6</v>
      </c>
    </row>
    <row r="10">
      <c r="A10" t="inlineStr">
        <is>
          <t>Giorgio Armani</t>
        </is>
      </c>
      <c r="B10">
        <f>COUNTIF(Modelo!$A$10:$A$1922,$A10)</f>
        <v>43</v>
      </c>
      <c r="C10" s="59">
        <f>MINIFS(Modelo!$E$10:$E$1922,Modelo!$A$10:$A$1922,$A10)</f>
        <v>18</v>
      </c>
      <c r="D10" s="59">
        <f>MAXIFS(Modelo!$E$10:$E$1922,Modelo!$A$10:$A$1922,$A10)</f>
        <v>330</v>
      </c>
      <c r="E10" s="59">
        <f>AVERAGEIF(Modelo!$A$10:$A$1922,$A10,Modelo!$E$10:$E$1922)</f>
        <v>83.24186047</v>
      </c>
      <c r="F10" s="56">
        <f>AVERAGEIF(Modelo!$A$10:$A$1922,$A10,Modelo!$I$10:$I$1922)</f>
        <v>0.6</v>
      </c>
    </row>
    <row r="11">
      <c r="A11" t="inlineStr">
        <is>
          <t>Creed</t>
        </is>
      </c>
      <c r="B11">
        <f>COUNTIF(Modelo!$A$10:$A$1922,$A11)</f>
        <v>41</v>
      </c>
      <c r="C11" s="59">
        <f>MINIFS(Modelo!$E$10:$E$1922,Modelo!$A$10:$A$1922,$A11)</f>
        <v>195</v>
      </c>
      <c r="D11" s="59">
        <f>MAXIFS(Modelo!$E$10:$E$1922,Modelo!$A$10:$A$1922,$A11)</f>
        <v>525</v>
      </c>
      <c r="E11" s="59">
        <f>AVERAGEIF(Modelo!$A$10:$A$1922,$A11,Modelo!$E$10:$E$1922)</f>
        <v>275.902439</v>
      </c>
      <c r="F11" s="56">
        <f>AVERAGEIF(Modelo!$A$10:$A$1922,$A11,Modelo!$I$10:$I$1922)</f>
        <v>0.6</v>
      </c>
    </row>
    <row r="12">
      <c r="A12" t="inlineStr">
        <is>
          <t>Jean Paul Gaultier</t>
        </is>
      </c>
      <c r="B12">
        <f>COUNTIF(Modelo!$A$10:$A$1922,$A12)</f>
        <v>40</v>
      </c>
      <c r="C12" s="59">
        <f>MINIFS(Modelo!$E$10:$E$1922,Modelo!$A$10:$A$1922,$A12)</f>
        <v>44</v>
      </c>
      <c r="D12" s="59">
        <f>MAXIFS(Modelo!$E$10:$E$1922,Modelo!$A$10:$A$1922,$A12)</f>
        <v>115</v>
      </c>
      <c r="E12" s="59">
        <f>AVERAGEIF(Modelo!$A$10:$A$1922,$A12,Modelo!$E$10:$E$1922)</f>
        <v>78.41</v>
      </c>
      <c r="F12" s="56">
        <f>AVERAGEIF(Modelo!$A$10:$A$1922,$A12,Modelo!$I$10:$I$1922)</f>
        <v>0.6</v>
      </c>
    </row>
    <row r="13">
      <c r="A13" t="inlineStr">
        <is>
          <t>Givenchy</t>
        </is>
      </c>
      <c r="B13">
        <f>COUNTIF(Modelo!$A$10:$A$1922,$A13)</f>
        <v>39</v>
      </c>
      <c r="C13" s="59">
        <f>MINIFS(Modelo!$E$10:$E$1922,Modelo!$A$10:$A$1922,$A13)</f>
        <v>36</v>
      </c>
      <c r="D13" s="59">
        <f>MAXIFS(Modelo!$E$10:$E$1922,Modelo!$A$10:$A$1922,$A13)</f>
        <v>110</v>
      </c>
      <c r="E13" s="59">
        <f>AVERAGEIF(Modelo!$A$10:$A$1922,$A13,Modelo!$E$10:$E$1922)</f>
        <v>70.79871795</v>
      </c>
      <c r="F13" s="56">
        <f>AVERAGEIF(Modelo!$A$10:$A$1922,$A13,Modelo!$I$10:$I$1922)</f>
        <v>0.6</v>
      </c>
    </row>
    <row r="14">
      <c r="A14" t="inlineStr">
        <is>
          <t>Xerjoff</t>
        </is>
      </c>
      <c r="B14">
        <f>COUNTIF(Modelo!$A$10:$A$1922,$A14)</f>
        <v>39</v>
      </c>
      <c r="C14" s="59">
        <f>MINIFS(Modelo!$E$10:$E$1922,Modelo!$A$10:$A$1922,$A14)</f>
        <v>138</v>
      </c>
      <c r="D14" s="59">
        <f>MAXIFS(Modelo!$E$10:$E$1922,Modelo!$A$10:$A$1922,$A14)</f>
        <v>360</v>
      </c>
      <c r="E14" s="59">
        <f>AVERAGEIF(Modelo!$A$10:$A$1922,$A14,Modelo!$E$10:$E$1922)</f>
        <v>196.7435897</v>
      </c>
      <c r="F14" s="56">
        <f>AVERAGEIF(Modelo!$A$10:$A$1922,$A14,Modelo!$I$10:$I$1922)</f>
        <v>0.6</v>
      </c>
    </row>
    <row r="15">
      <c r="A15" t="inlineStr">
        <is>
          <t>Christian Dior</t>
        </is>
      </c>
      <c r="B15">
        <f>COUNTIF(Modelo!$A$10:$A$1922,$A15)</f>
        <v>37</v>
      </c>
      <c r="C15" s="59">
        <f>MINIFS(Modelo!$E$10:$E$1922,Modelo!$A$10:$A$1922,$A15)</f>
        <v>62</v>
      </c>
      <c r="D15" s="59">
        <f>MAXIFS(Modelo!$E$10:$E$1922,Modelo!$A$10:$A$1922,$A15)</f>
        <v>200</v>
      </c>
      <c r="E15" s="59">
        <f>AVERAGEIF(Modelo!$A$10:$A$1922,$A15,Modelo!$E$10:$E$1922)</f>
        <v>100.2702703</v>
      </c>
      <c r="F15" s="56">
        <f>AVERAGEIF(Modelo!$A$10:$A$1922,$A15,Modelo!$I$10:$I$1922)</f>
        <v>0.6</v>
      </c>
    </row>
    <row r="16">
      <c r="A16" t="inlineStr">
        <is>
          <t>Iscents</t>
        </is>
      </c>
      <c r="B16">
        <f>COUNTIF(Modelo!$A$10:$A$1922,$A16)</f>
        <v>36</v>
      </c>
      <c r="C16" s="59">
        <f>MINIFS(Modelo!$E$10:$E$1922,Modelo!$A$10:$A$1922,$A16)</f>
        <v>6.5</v>
      </c>
      <c r="D16" s="59">
        <f>MAXIFS(Modelo!$E$10:$E$1922,Modelo!$A$10:$A$1922,$A16)</f>
        <v>6.5</v>
      </c>
      <c r="E16" s="59">
        <f>AVERAGEIF(Modelo!$A$10:$A$1922,$A16,Modelo!$E$10:$E$1922)</f>
        <v>6.5</v>
      </c>
      <c r="F16" s="56">
        <f>AVERAGEIF(Modelo!$A$10:$A$1922,$A16,Modelo!$I$10:$I$1922)</f>
        <v>0.6</v>
      </c>
    </row>
    <row r="17">
      <c r="A17" t="inlineStr">
        <is>
          <t>Mini Brand Collection</t>
        </is>
      </c>
      <c r="B17">
        <f>COUNTIF(Modelo!$A$10:$A$1922,$A17)</f>
        <v>36</v>
      </c>
      <c r="C17" s="59">
        <f>MINIFS(Modelo!$E$10:$E$1922,Modelo!$A$10:$A$1922,$A17)</f>
        <v>4</v>
      </c>
      <c r="D17" s="59">
        <f>MAXIFS(Modelo!$E$10:$E$1922,Modelo!$A$10:$A$1922,$A17)</f>
        <v>5</v>
      </c>
      <c r="E17" s="59">
        <f>AVERAGEIF(Modelo!$A$10:$A$1922,$A17,Modelo!$E$10:$E$1922)</f>
        <v>4.138888889</v>
      </c>
      <c r="F17" s="56">
        <f>AVERAGEIF(Modelo!$A$10:$A$1922,$A17,Modelo!$I$10:$I$1922)</f>
        <v>0.6</v>
      </c>
    </row>
    <row r="18">
      <c r="A18" t="inlineStr">
        <is>
          <t>Antonio Banderas</t>
        </is>
      </c>
      <c r="B18">
        <f>COUNTIF(Modelo!$A$10:$A$1922,$A18)</f>
        <v>35</v>
      </c>
      <c r="C18" s="59">
        <f>MINIFS(Modelo!$E$10:$E$1922,Modelo!$A$10:$A$1922,$A18)</f>
        <v>11</v>
      </c>
      <c r="D18" s="59">
        <f>MAXIFS(Modelo!$E$10:$E$1922,Modelo!$A$10:$A$1922,$A18)</f>
        <v>21.25</v>
      </c>
      <c r="E18" s="59">
        <f>AVERAGEIF(Modelo!$A$10:$A$1922,$A18,Modelo!$E$10:$E$1922)</f>
        <v>16.08685714</v>
      </c>
      <c r="F18" s="56">
        <f>AVERAGEIF(Modelo!$A$10:$A$1922,$A18,Modelo!$I$10:$I$1922)</f>
        <v>0.6</v>
      </c>
    </row>
    <row r="19">
      <c r="A19" t="inlineStr">
        <is>
          <t>Calvin Klein</t>
        </is>
      </c>
      <c r="B19">
        <f>COUNTIF(Modelo!$A$10:$A$1922,$A19)</f>
        <v>35</v>
      </c>
      <c r="C19" s="59">
        <f>MINIFS(Modelo!$E$10:$E$1922,Modelo!$A$10:$A$1922,$A19)</f>
        <v>17</v>
      </c>
      <c r="D19" s="59">
        <f>MAXIFS(Modelo!$E$10:$E$1922,Modelo!$A$10:$A$1922,$A19)</f>
        <v>55</v>
      </c>
      <c r="E19" s="59">
        <f>AVERAGEIF(Modelo!$A$10:$A$1922,$A19,Modelo!$E$10:$E$1922)</f>
        <v>27.85571429</v>
      </c>
      <c r="F19" s="56">
        <f>AVERAGEIF(Modelo!$A$10:$A$1922,$A19,Modelo!$I$10:$I$1922)</f>
        <v>0.6</v>
      </c>
    </row>
    <row r="20">
      <c r="A20" t="inlineStr">
        <is>
          <t>Rasasi</t>
        </is>
      </c>
      <c r="B20">
        <f>COUNTIF(Modelo!$A$10:$A$1922,$A20)</f>
        <v>35</v>
      </c>
      <c r="C20" s="59">
        <f>MINIFS(Modelo!$E$10:$E$1922,Modelo!$A$10:$A$1922,$A20)</f>
        <v>16</v>
      </c>
      <c r="D20" s="59">
        <f>MAXIFS(Modelo!$E$10:$E$1922,Modelo!$A$10:$A$1922,$A20)</f>
        <v>35</v>
      </c>
      <c r="E20" s="59">
        <f>AVERAGEIF(Modelo!$A$10:$A$1922,$A20,Modelo!$E$10:$E$1922)</f>
        <v>21.00714286</v>
      </c>
      <c r="F20" s="56">
        <f>AVERAGEIF(Modelo!$A$10:$A$1922,$A20,Modelo!$I$10:$I$1922)</f>
        <v>0.6</v>
      </c>
    </row>
    <row r="21">
      <c r="A21" t="inlineStr">
        <is>
          <t>French Avenue</t>
        </is>
      </c>
      <c r="B21">
        <f>COUNTIF(Modelo!$A$10:$A$1922,$A21)</f>
        <v>34</v>
      </c>
      <c r="C21" s="59">
        <f>MINIFS(Modelo!$E$10:$E$1922,Modelo!$A$10:$A$1922,$A21)</f>
        <v>21.25</v>
      </c>
      <c r="D21" s="59">
        <f>MAXIFS(Modelo!$E$10:$E$1922,Modelo!$A$10:$A$1922,$A21)</f>
        <v>41.5</v>
      </c>
      <c r="E21" s="59">
        <f>AVERAGEIF(Modelo!$A$10:$A$1922,$A21,Modelo!$E$10:$E$1922)</f>
        <v>28.66617647</v>
      </c>
      <c r="F21" s="56">
        <f>AVERAGEIF(Modelo!$A$10:$A$1922,$A21,Modelo!$I$10:$I$1922)</f>
        <v>0.6</v>
      </c>
    </row>
    <row r="22">
      <c r="A22" t="inlineStr">
        <is>
          <t>Yves Saint Laurent</t>
        </is>
      </c>
      <c r="B22">
        <f>COUNTIF(Modelo!$A$10:$A$1922,$A22)</f>
        <v>34</v>
      </c>
      <c r="C22" s="59">
        <f>MINIFS(Modelo!$E$10:$E$1922,Modelo!$A$10:$A$1922,$A22)</f>
        <v>51.5</v>
      </c>
      <c r="D22" s="59">
        <f>MAXIFS(Modelo!$E$10:$E$1922,Modelo!$A$10:$A$1922,$A22)</f>
        <v>194</v>
      </c>
      <c r="E22" s="59">
        <f>AVERAGEIF(Modelo!$A$10:$A$1922,$A22,Modelo!$E$10:$E$1922)</f>
        <v>97.75</v>
      </c>
      <c r="F22" s="56">
        <f>AVERAGEIF(Modelo!$A$10:$A$1922,$A22,Modelo!$I$10:$I$1922)</f>
        <v>0.6</v>
      </c>
    </row>
    <row r="23">
      <c r="A23" t="inlineStr">
        <is>
          <t>Versace</t>
        </is>
      </c>
      <c r="B23">
        <f>COUNTIF(Modelo!$A$10:$A$1922,$A23)</f>
        <v>30</v>
      </c>
      <c r="C23" s="59">
        <f>MINIFS(Modelo!$E$10:$E$1922,Modelo!$A$10:$A$1922,$A23)</f>
        <v>21</v>
      </c>
      <c r="D23" s="59">
        <f>MAXIFS(Modelo!$E$10:$E$1922,Modelo!$A$10:$A$1922,$A23)</f>
        <v>98</v>
      </c>
      <c r="E23" s="59">
        <f>AVERAGEIF(Modelo!$A$10:$A$1922,$A23,Modelo!$E$10:$E$1922)</f>
        <v>56.88333333</v>
      </c>
      <c r="F23" s="56">
        <f>AVERAGEIF(Modelo!$A$10:$A$1922,$A23,Modelo!$I$10:$I$1922)</f>
        <v>0.6</v>
      </c>
    </row>
    <row r="24">
      <c r="A24" t="inlineStr">
        <is>
          <t>Al Wataniah</t>
        </is>
      </c>
      <c r="B24">
        <f>COUNTIF(Modelo!$A$10:$A$1922,$A24)</f>
        <v>25</v>
      </c>
      <c r="C24" s="59">
        <f>MINIFS(Modelo!$E$10:$E$1922,Modelo!$A$10:$A$1922,$A24)</f>
        <v>9.75</v>
      </c>
      <c r="D24" s="59">
        <f>MAXIFS(Modelo!$E$10:$E$1922,Modelo!$A$10:$A$1922,$A24)</f>
        <v>25.5</v>
      </c>
      <c r="E24" s="59">
        <f>AVERAGEIF(Modelo!$A$10:$A$1922,$A24,Modelo!$E$10:$E$1922)</f>
        <v>17.5696</v>
      </c>
      <c r="F24" s="56">
        <f>AVERAGEIF(Modelo!$A$10:$A$1922,$A24,Modelo!$I$10:$I$1922)</f>
        <v>0.6</v>
      </c>
    </row>
    <row r="25">
      <c r="A25" t="inlineStr">
        <is>
          <t>Scentologia</t>
        </is>
      </c>
      <c r="B25">
        <f>COUNTIF(Modelo!$A$10:$A$1922,$A25)</f>
        <v>25</v>
      </c>
      <c r="C25" s="59">
        <f>MINIFS(Modelo!$E$10:$E$1922,Modelo!$A$10:$A$1922,$A25)</f>
        <v>200</v>
      </c>
      <c r="D25" s="59">
        <f>MAXIFS(Modelo!$E$10:$E$1922,Modelo!$A$10:$A$1922,$A25)</f>
        <v>200</v>
      </c>
      <c r="E25" s="59">
        <f>AVERAGEIF(Modelo!$A$10:$A$1922,$A25,Modelo!$E$10:$E$1922)</f>
        <v>200</v>
      </c>
      <c r="F25" s="56">
        <f>AVERAGEIF(Modelo!$A$10:$A$1922,$A25,Modelo!$I$10:$I$1922)</f>
        <v>0.6</v>
      </c>
    </row>
    <row r="26">
      <c r="A26" t="inlineStr">
        <is>
          <t>New Notes</t>
        </is>
      </c>
      <c r="B26">
        <f>COUNTIF(Modelo!$A$10:$A$1922,$A26)</f>
        <v>24</v>
      </c>
      <c r="C26" s="59">
        <f>MINIFS(Modelo!$E$10:$E$1922,Modelo!$A$10:$A$1922,$A26)</f>
        <v>200</v>
      </c>
      <c r="D26" s="59">
        <f>MAXIFS(Modelo!$E$10:$E$1922,Modelo!$A$10:$A$1922,$A26)</f>
        <v>240</v>
      </c>
      <c r="E26" s="59">
        <f>AVERAGEIF(Modelo!$A$10:$A$1922,$A26,Modelo!$E$10:$E$1922)</f>
        <v>221.6666667</v>
      </c>
      <c r="F26" s="56">
        <f>AVERAGEIF(Modelo!$A$10:$A$1922,$A26,Modelo!$I$10:$I$1922)</f>
        <v>0.6</v>
      </c>
    </row>
    <row r="27">
      <c r="A27" t="inlineStr">
        <is>
          <t>Azzaro</t>
        </is>
      </c>
      <c r="B27">
        <f>COUNTIF(Modelo!$A$10:$A$1922,$A27)</f>
        <v>22</v>
      </c>
      <c r="C27" s="59">
        <f>MINIFS(Modelo!$E$10:$E$1922,Modelo!$A$10:$A$1922,$A27)</f>
        <v>17.5</v>
      </c>
      <c r="D27" s="59">
        <f>MAXIFS(Modelo!$E$10:$E$1922,Modelo!$A$10:$A$1922,$A27)</f>
        <v>88</v>
      </c>
      <c r="E27" s="59">
        <f>AVERAGEIF(Modelo!$A$10:$A$1922,$A27,Modelo!$E$10:$E$1922)</f>
        <v>46.36363636</v>
      </c>
      <c r="F27" s="56">
        <f>AVERAGEIF(Modelo!$A$10:$A$1922,$A27,Modelo!$I$10:$I$1922)</f>
        <v>0.6</v>
      </c>
    </row>
    <row r="28">
      <c r="A28" t="inlineStr">
        <is>
          <t>Thierry Mugler</t>
        </is>
      </c>
      <c r="B28">
        <f>COUNTIF(Modelo!$A$10:$A$1922,$A28)</f>
        <v>21</v>
      </c>
      <c r="C28" s="59">
        <f>MINIFS(Modelo!$E$10:$E$1922,Modelo!$A$10:$A$1922,$A28)</f>
        <v>23.5</v>
      </c>
      <c r="D28" s="59">
        <f>MAXIFS(Modelo!$E$10:$E$1922,Modelo!$A$10:$A$1922,$A28)</f>
        <v>120</v>
      </c>
      <c r="E28" s="59">
        <f>AVERAGEIF(Modelo!$A$10:$A$1922,$A28,Modelo!$E$10:$E$1922)</f>
        <v>73.75</v>
      </c>
      <c r="F28" s="56">
        <f>AVERAGEIF(Modelo!$A$10:$A$1922,$A28,Modelo!$I$10:$I$1922)</f>
        <v>0.6</v>
      </c>
    </row>
    <row r="29">
      <c r="A29" t="inlineStr">
        <is>
          <t>Montblanc</t>
        </is>
      </c>
      <c r="B29">
        <f>COUNTIF(Modelo!$A$10:$A$1922,$A29)</f>
        <v>19</v>
      </c>
      <c r="C29" s="59">
        <f>MINIFS(Modelo!$E$10:$E$1922,Modelo!$A$10:$A$1922,$A29)</f>
        <v>20</v>
      </c>
      <c r="D29" s="59">
        <f>MAXIFS(Modelo!$E$10:$E$1922,Modelo!$A$10:$A$1922,$A29)</f>
        <v>58</v>
      </c>
      <c r="E29" s="59">
        <f>AVERAGEIF(Modelo!$A$10:$A$1922,$A29,Modelo!$E$10:$E$1922)</f>
        <v>38.86842105</v>
      </c>
      <c r="F29" s="56">
        <f>AVERAGEIF(Modelo!$A$10:$A$1922,$A29,Modelo!$I$10:$I$1922)</f>
        <v>0.6</v>
      </c>
    </row>
    <row r="30">
      <c r="A30" t="inlineStr">
        <is>
          <t>Parfums de Marly</t>
        </is>
      </c>
      <c r="B30">
        <f>COUNTIF(Modelo!$A$10:$A$1922,$A30)</f>
        <v>19</v>
      </c>
      <c r="C30" s="59">
        <f>MINIFS(Modelo!$E$10:$E$1922,Modelo!$A$10:$A$1922,$A30)</f>
        <v>178</v>
      </c>
      <c r="D30" s="59">
        <f>MAXIFS(Modelo!$E$10:$E$1922,Modelo!$A$10:$A$1922,$A30)</f>
        <v>280</v>
      </c>
      <c r="E30" s="59">
        <f>AVERAGEIF(Modelo!$A$10:$A$1922,$A30,Modelo!$E$10:$E$1922)</f>
        <v>241.4736842</v>
      </c>
      <c r="F30" s="56">
        <f>AVERAGEIF(Modelo!$A$10:$A$1922,$A30,Modelo!$I$10:$I$1922)</f>
        <v>0.6</v>
      </c>
    </row>
    <row r="31">
      <c r="A31" t="inlineStr">
        <is>
          <t>Issey Miyake</t>
        </is>
      </c>
      <c r="B31">
        <f>COUNTIF(Modelo!$A$10:$A$1922,$A31)</f>
        <v>17</v>
      </c>
      <c r="C31" s="59">
        <f>MINIFS(Modelo!$E$10:$E$1922,Modelo!$A$10:$A$1922,$A31)</f>
        <v>25</v>
      </c>
      <c r="D31" s="59">
        <f>MAXIFS(Modelo!$E$10:$E$1922,Modelo!$A$10:$A$1922,$A31)</f>
        <v>70</v>
      </c>
      <c r="E31" s="59">
        <f>AVERAGEIF(Modelo!$A$10:$A$1922,$A31,Modelo!$E$10:$E$1922)</f>
        <v>42.48529412</v>
      </c>
      <c r="F31" s="56">
        <f>AVERAGEIF(Modelo!$A$10:$A$1922,$A31,Modelo!$I$10:$I$1922)</f>
        <v>0.6</v>
      </c>
    </row>
    <row r="32">
      <c r="A32" t="inlineStr">
        <is>
          <t>L'Affair</t>
        </is>
      </c>
      <c r="B32">
        <f>COUNTIF(Modelo!$A$10:$A$1922,$A32)</f>
        <v>17</v>
      </c>
      <c r="C32" s="59">
        <f>MINIFS(Modelo!$E$10:$E$1922,Modelo!$A$10:$A$1922,$A32)</f>
        <v>12</v>
      </c>
      <c r="D32" s="59">
        <f>MAXIFS(Modelo!$E$10:$E$1922,Modelo!$A$10:$A$1922,$A32)</f>
        <v>25</v>
      </c>
      <c r="E32" s="59">
        <f>AVERAGEIF(Modelo!$A$10:$A$1922,$A32,Modelo!$E$10:$E$1922)</f>
        <v>13.61764706</v>
      </c>
      <c r="F32" s="56">
        <f>AVERAGEIF(Modelo!$A$10:$A$1922,$A32,Modelo!$I$10:$I$1922)</f>
        <v>0.6</v>
      </c>
    </row>
    <row r="33">
      <c r="A33" t="inlineStr">
        <is>
          <t>D'Hermosa</t>
        </is>
      </c>
      <c r="B33">
        <f>COUNTIF(Modelo!$A$10:$A$1922,$A33)</f>
        <v>16</v>
      </c>
      <c r="C33" s="59">
        <f>MINIFS(Modelo!$E$10:$E$1922,Modelo!$A$10:$A$1922,$A33)</f>
        <v>2.75</v>
      </c>
      <c r="D33" s="59">
        <f>MAXIFS(Modelo!$E$10:$E$1922,Modelo!$A$10:$A$1922,$A33)</f>
        <v>2.75</v>
      </c>
      <c r="E33" s="59">
        <f>AVERAGEIF(Modelo!$A$10:$A$1922,$A33,Modelo!$E$10:$E$1922)</f>
        <v>2.75</v>
      </c>
      <c r="F33" s="56">
        <f>AVERAGEIF(Modelo!$A$10:$A$1922,$A33,Modelo!$I$10:$I$1922)</f>
        <v>0.6</v>
      </c>
    </row>
    <row r="34">
      <c r="A34" t="inlineStr">
        <is>
          <t>Prada</t>
        </is>
      </c>
      <c r="B34">
        <f>COUNTIF(Modelo!$A$10:$A$1922,$A34)</f>
        <v>16</v>
      </c>
      <c r="C34" s="59">
        <f>MINIFS(Modelo!$E$10:$E$1922,Modelo!$A$10:$A$1922,$A34)</f>
        <v>64</v>
      </c>
      <c r="D34" s="59">
        <f>MAXIFS(Modelo!$E$10:$E$1922,Modelo!$A$10:$A$1922,$A34)</f>
        <v>118</v>
      </c>
      <c r="E34" s="59">
        <f>AVERAGEIF(Modelo!$A$10:$A$1922,$A34,Modelo!$E$10:$E$1922)</f>
        <v>88.5</v>
      </c>
      <c r="F34" s="56">
        <f>AVERAGEIF(Modelo!$A$10:$A$1922,$A34,Modelo!$I$10:$I$1922)</f>
        <v>0.6</v>
      </c>
    </row>
    <row r="35">
      <c r="A35" t="inlineStr">
        <is>
          <t>Bharara</t>
        </is>
      </c>
      <c r="B35">
        <f>COUNTIF(Modelo!$A$10:$A$1922,$A35)</f>
        <v>15</v>
      </c>
      <c r="C35" s="59">
        <f>MINIFS(Modelo!$E$10:$E$1922,Modelo!$A$10:$A$1922,$A35)</f>
        <v>34</v>
      </c>
      <c r="D35" s="59">
        <f>MAXIFS(Modelo!$E$10:$E$1922,Modelo!$A$10:$A$1922,$A35)</f>
        <v>66</v>
      </c>
      <c r="E35" s="59">
        <f>AVERAGEIF(Modelo!$A$10:$A$1922,$A35,Modelo!$E$10:$E$1922)</f>
        <v>42.21666667</v>
      </c>
      <c r="F35" s="56">
        <f>AVERAGEIF(Modelo!$A$10:$A$1922,$A35,Modelo!$I$10:$I$1922)</f>
        <v>0.6</v>
      </c>
    </row>
    <row r="36">
      <c r="A36" t="inlineStr">
        <is>
          <t>Tiziana Terenzi</t>
        </is>
      </c>
      <c r="B36">
        <f>COUNTIF(Modelo!$A$10:$A$1922,$A36)</f>
        <v>15</v>
      </c>
      <c r="C36" s="59">
        <f>MINIFS(Modelo!$E$10:$E$1922,Modelo!$A$10:$A$1922,$A36)</f>
        <v>147</v>
      </c>
      <c r="D36" s="59">
        <f>MAXIFS(Modelo!$E$10:$E$1922,Modelo!$A$10:$A$1922,$A36)</f>
        <v>370</v>
      </c>
      <c r="E36" s="59">
        <f>AVERAGEIF(Modelo!$A$10:$A$1922,$A36,Modelo!$E$10:$E$1922)</f>
        <v>227.0666667</v>
      </c>
      <c r="F36" s="56">
        <f>AVERAGEIF(Modelo!$A$10:$A$1922,$A36,Modelo!$I$10:$I$1922)</f>
        <v>0.6</v>
      </c>
    </row>
    <row r="37">
      <c r="A37" t="inlineStr">
        <is>
          <t>Valentino</t>
        </is>
      </c>
      <c r="B37">
        <f>COUNTIF(Modelo!$A$10:$A$1922,$A37)</f>
        <v>15</v>
      </c>
      <c r="C37" s="59">
        <f>MINIFS(Modelo!$E$10:$E$1922,Modelo!$A$10:$A$1922,$A37)</f>
        <v>68</v>
      </c>
      <c r="D37" s="59">
        <f>MAXIFS(Modelo!$E$10:$E$1922,Modelo!$A$10:$A$1922,$A37)</f>
        <v>137</v>
      </c>
      <c r="E37" s="59">
        <f>AVERAGEIF(Modelo!$A$10:$A$1922,$A37,Modelo!$E$10:$E$1922)</f>
        <v>99.33333333</v>
      </c>
      <c r="F37" s="56">
        <f>AVERAGEIF(Modelo!$A$10:$A$1922,$A37,Modelo!$I$10:$I$1922)</f>
        <v>0.6</v>
      </c>
    </row>
    <row r="38">
      <c r="A38" t="inlineStr">
        <is>
          <t>Chloe</t>
        </is>
      </c>
      <c r="B38">
        <f>COUNTIF(Modelo!$A$10:$A$1922,$A38)</f>
        <v>14</v>
      </c>
      <c r="C38" s="59">
        <f>MINIFS(Modelo!$E$10:$E$1922,Modelo!$A$10:$A$1922,$A38)</f>
        <v>55</v>
      </c>
      <c r="D38" s="59">
        <f>MAXIFS(Modelo!$E$10:$E$1922,Modelo!$A$10:$A$1922,$A38)</f>
        <v>114</v>
      </c>
      <c r="E38" s="59">
        <f>AVERAGEIF(Modelo!$A$10:$A$1922,$A38,Modelo!$E$10:$E$1922)</f>
        <v>77.5</v>
      </c>
      <c r="F38" s="56">
        <f>AVERAGEIF(Modelo!$A$10:$A$1922,$A38,Modelo!$I$10:$I$1922)</f>
        <v>0.6</v>
      </c>
    </row>
    <row r="39">
      <c r="A39" t="inlineStr">
        <is>
          <t>Hugo Boss</t>
        </is>
      </c>
      <c r="B39">
        <f>COUNTIF(Modelo!$A$10:$A$1922,$A39)</f>
        <v>14</v>
      </c>
      <c r="C39" s="59">
        <f>MINIFS(Modelo!$E$10:$E$1922,Modelo!$A$10:$A$1922,$A39)</f>
        <v>22</v>
      </c>
      <c r="D39" s="59">
        <f>MAXIFS(Modelo!$E$10:$E$1922,Modelo!$A$10:$A$1922,$A39)</f>
        <v>82</v>
      </c>
      <c r="E39" s="59">
        <f>AVERAGEIF(Modelo!$A$10:$A$1922,$A39,Modelo!$E$10:$E$1922)</f>
        <v>40.46357143</v>
      </c>
      <c r="F39" s="56">
        <f>AVERAGEIF(Modelo!$A$10:$A$1922,$A39,Modelo!$I$10:$I$1922)</f>
        <v>0.6</v>
      </c>
    </row>
    <row r="40">
      <c r="A40" t="inlineStr">
        <is>
          <t>Bvlgari</t>
        </is>
      </c>
      <c r="B40">
        <f>COUNTIF(Modelo!$A$10:$A$1922,$A40)</f>
        <v>13</v>
      </c>
      <c r="C40" s="59">
        <f>MINIFS(Modelo!$E$10:$E$1922,Modelo!$A$10:$A$1922,$A40)</f>
        <v>55.5</v>
      </c>
      <c r="D40" s="59">
        <f>MAXIFS(Modelo!$E$10:$E$1922,Modelo!$A$10:$A$1922,$A40)</f>
        <v>102</v>
      </c>
      <c r="E40" s="59">
        <f>AVERAGEIF(Modelo!$A$10:$A$1922,$A40,Modelo!$E$10:$E$1922)</f>
        <v>82.59230769</v>
      </c>
      <c r="F40" s="56">
        <f>AVERAGEIF(Modelo!$A$10:$A$1922,$A40,Modelo!$I$10:$I$1922)</f>
        <v>0.6</v>
      </c>
    </row>
    <row r="41">
      <c r="A41" t="inlineStr">
        <is>
          <t>Marc Jacobs</t>
        </is>
      </c>
      <c r="B41">
        <f>COUNTIF(Modelo!$A$10:$A$1922,$A41)</f>
        <v>13</v>
      </c>
      <c r="C41" s="59">
        <f>MINIFS(Modelo!$E$10:$E$1922,Modelo!$A$10:$A$1922,$A41)</f>
        <v>35</v>
      </c>
      <c r="D41" s="59">
        <f>MAXIFS(Modelo!$E$10:$E$1922,Modelo!$A$10:$A$1922,$A41)</f>
        <v>115</v>
      </c>
      <c r="E41" s="59">
        <f>AVERAGEIF(Modelo!$A$10:$A$1922,$A41,Modelo!$E$10:$E$1922)</f>
        <v>80.61538462</v>
      </c>
      <c r="F41" s="56">
        <f>AVERAGEIF(Modelo!$A$10:$A$1922,$A41,Modelo!$I$10:$I$1922)</f>
        <v>0.6</v>
      </c>
    </row>
    <row r="42">
      <c r="A42" t="inlineStr">
        <is>
          <t>Burberry</t>
        </is>
      </c>
      <c r="B42">
        <f>COUNTIF(Modelo!$A$10:$A$1922,$A42)</f>
        <v>12</v>
      </c>
      <c r="C42" s="59">
        <f>MINIFS(Modelo!$E$10:$E$1922,Modelo!$A$10:$A$1922,$A42)</f>
        <v>53</v>
      </c>
      <c r="D42" s="59">
        <f>MAXIFS(Modelo!$E$10:$E$1922,Modelo!$A$10:$A$1922,$A42)</f>
        <v>105</v>
      </c>
      <c r="E42" s="59">
        <f>AVERAGEIF(Modelo!$A$10:$A$1922,$A42,Modelo!$E$10:$E$1922)</f>
        <v>78.5</v>
      </c>
      <c r="F42" s="56">
        <f>AVERAGEIF(Modelo!$A$10:$A$1922,$A42,Modelo!$I$10:$I$1922)</f>
        <v>0.6</v>
      </c>
    </row>
    <row r="43">
      <c r="A43" t="inlineStr">
        <is>
          <t>Halloween</t>
        </is>
      </c>
      <c r="B43">
        <f>COUNTIF(Modelo!$A$10:$A$1922,$A43)</f>
        <v>12</v>
      </c>
      <c r="C43" s="59">
        <f>MINIFS(Modelo!$E$10:$E$1922,Modelo!$A$10:$A$1922,$A43)</f>
        <v>23</v>
      </c>
      <c r="D43" s="59">
        <f>MAXIFS(Modelo!$E$10:$E$1922,Modelo!$A$10:$A$1922,$A43)</f>
        <v>42</v>
      </c>
      <c r="E43" s="59">
        <f>AVERAGEIF(Modelo!$A$10:$A$1922,$A43,Modelo!$E$10:$E$1922)</f>
        <v>32</v>
      </c>
      <c r="F43" s="56">
        <f>AVERAGEIF(Modelo!$A$10:$A$1922,$A43,Modelo!$I$10:$I$1922)</f>
        <v>0.6</v>
      </c>
    </row>
    <row r="44">
      <c r="A44" t="inlineStr">
        <is>
          <t>Kajal</t>
        </is>
      </c>
      <c r="B44">
        <f>COUNTIF(Modelo!$A$10:$A$1922,$A44)</f>
        <v>12</v>
      </c>
      <c r="C44" s="59">
        <f>MINIFS(Modelo!$E$10:$E$1922,Modelo!$A$10:$A$1922,$A44)</f>
        <v>150</v>
      </c>
      <c r="D44" s="59">
        <f>MAXIFS(Modelo!$E$10:$E$1922,Modelo!$A$10:$A$1922,$A44)</f>
        <v>220</v>
      </c>
      <c r="E44" s="59">
        <f>AVERAGEIF(Modelo!$A$10:$A$1922,$A44,Modelo!$E$10:$E$1922)</f>
        <v>202.5</v>
      </c>
      <c r="F44" s="56">
        <f>AVERAGEIF(Modelo!$A$10:$A$1922,$A44,Modelo!$I$10:$I$1922)</f>
        <v>0.6</v>
      </c>
    </row>
    <row r="45">
      <c r="A45" t="inlineStr">
        <is>
          <t>Lancome</t>
        </is>
      </c>
      <c r="B45">
        <f>COUNTIF(Modelo!$A$10:$A$1922,$A45)</f>
        <v>12</v>
      </c>
      <c r="C45" s="59">
        <f>MINIFS(Modelo!$E$10:$E$1922,Modelo!$A$10:$A$1922,$A45)</f>
        <v>61</v>
      </c>
      <c r="D45" s="59">
        <f>MAXIFS(Modelo!$E$10:$E$1922,Modelo!$A$10:$A$1922,$A45)</f>
        <v>106</v>
      </c>
      <c r="E45" s="59">
        <f>AVERAGEIF(Modelo!$A$10:$A$1922,$A45,Modelo!$E$10:$E$1922)</f>
        <v>78.41666667</v>
      </c>
      <c r="F45" s="56">
        <f>AVERAGEIF(Modelo!$A$10:$A$1922,$A45,Modelo!$I$10:$I$1922)</f>
        <v>0.6</v>
      </c>
    </row>
    <row r="46">
      <c r="A46" t="inlineStr">
        <is>
          <t>Afnan</t>
        </is>
      </c>
      <c r="B46">
        <f>COUNTIF(Modelo!$A$10:$A$1922,$A46)</f>
        <v>11</v>
      </c>
      <c r="C46" s="59">
        <f>MINIFS(Modelo!$E$10:$E$1922,Modelo!$A$10:$A$1922,$A46)</f>
        <v>22.25</v>
      </c>
      <c r="D46" s="59">
        <f>MAXIFS(Modelo!$E$10:$E$1922,Modelo!$A$10:$A$1922,$A46)</f>
        <v>36.5</v>
      </c>
      <c r="E46" s="59">
        <f>AVERAGEIF(Modelo!$A$10:$A$1922,$A46,Modelo!$E$10:$E$1922)</f>
        <v>26.80909091</v>
      </c>
      <c r="F46" s="56">
        <f>AVERAGEIF(Modelo!$A$10:$A$1922,$A46,Modelo!$I$10:$I$1922)</f>
        <v>0.6</v>
      </c>
    </row>
    <row r="47">
      <c r="A47" t="inlineStr">
        <is>
          <t>Jimmy Choo</t>
        </is>
      </c>
      <c r="B47">
        <f>COUNTIF(Modelo!$A$10:$A$1922,$A47)</f>
        <v>11</v>
      </c>
      <c r="C47" s="59">
        <f>MINIFS(Modelo!$E$10:$E$1922,Modelo!$A$10:$A$1922,$A47)</f>
        <v>41.5</v>
      </c>
      <c r="D47" s="59">
        <f>MAXIFS(Modelo!$E$10:$E$1922,Modelo!$A$10:$A$1922,$A47)</f>
        <v>88</v>
      </c>
      <c r="E47" s="59">
        <f>AVERAGEIF(Modelo!$A$10:$A$1922,$A47,Modelo!$E$10:$E$1922)</f>
        <v>72.49090909</v>
      </c>
      <c r="F47" s="56">
        <f>AVERAGEIF(Modelo!$A$10:$A$1922,$A47,Modelo!$I$10:$I$1922)</f>
        <v>0.6</v>
      </c>
    </row>
    <row r="48">
      <c r="A48" t="inlineStr">
        <is>
          <t>Moschino</t>
        </is>
      </c>
      <c r="B48">
        <f>COUNTIF(Modelo!$A$10:$A$1922,$A48)</f>
        <v>11</v>
      </c>
      <c r="C48" s="59">
        <f>MINIFS(Modelo!$E$10:$E$1922,Modelo!$A$10:$A$1922,$A48)</f>
        <v>22</v>
      </c>
      <c r="D48" s="59">
        <f>MAXIFS(Modelo!$E$10:$E$1922,Modelo!$A$10:$A$1922,$A48)</f>
        <v>39</v>
      </c>
      <c r="E48" s="59">
        <f>AVERAGEIF(Modelo!$A$10:$A$1922,$A48,Modelo!$E$10:$E$1922)</f>
        <v>32.33636364</v>
      </c>
      <c r="F48" s="56">
        <f>AVERAGEIF(Modelo!$A$10:$A$1922,$A48,Modelo!$I$10:$I$1922)</f>
        <v>0.6</v>
      </c>
    </row>
    <row r="49">
      <c r="A49" t="inlineStr">
        <is>
          <t>Alfred Ritchy</t>
        </is>
      </c>
      <c r="B49">
        <f>COUNTIF(Modelo!$A$10:$A$1922,$A49)</f>
        <v>10</v>
      </c>
      <c r="C49" s="59">
        <f>MINIFS(Modelo!$E$10:$E$1922,Modelo!$A$10:$A$1922,$A49)</f>
        <v>100</v>
      </c>
      <c r="D49" s="59">
        <f>MAXIFS(Modelo!$E$10:$E$1922,Modelo!$A$10:$A$1922,$A49)</f>
        <v>100</v>
      </c>
      <c r="E49" s="59">
        <f>AVERAGEIF(Modelo!$A$10:$A$1922,$A49,Modelo!$E$10:$E$1922)</f>
        <v>100</v>
      </c>
      <c r="F49" s="56">
        <f>AVERAGEIF(Modelo!$A$10:$A$1922,$A49,Modelo!$I$10:$I$1922)</f>
        <v>0.6</v>
      </c>
    </row>
    <row r="50">
      <c r="A50" t="inlineStr">
        <is>
          <t>Gucci</t>
        </is>
      </c>
      <c r="B50">
        <f>COUNTIF(Modelo!$A$10:$A$1922,$A50)</f>
        <v>10</v>
      </c>
      <c r="C50" s="59">
        <f>MINIFS(Modelo!$E$10:$E$1922,Modelo!$A$10:$A$1922,$A50)</f>
        <v>56</v>
      </c>
      <c r="D50" s="59">
        <f>MAXIFS(Modelo!$E$10:$E$1922,Modelo!$A$10:$A$1922,$A50)</f>
        <v>215</v>
      </c>
      <c r="E50" s="59">
        <f>AVERAGEIF(Modelo!$A$10:$A$1922,$A50,Modelo!$E$10:$E$1922)</f>
        <v>114.35</v>
      </c>
      <c r="F50" s="56">
        <f>AVERAGEIF(Modelo!$A$10:$A$1922,$A50,Modelo!$I$10:$I$1922)</f>
        <v>0.6</v>
      </c>
    </row>
    <row r="51">
      <c r="A51" t="inlineStr">
        <is>
          <t>Jo Milano</t>
        </is>
      </c>
      <c r="B51">
        <f>COUNTIF(Modelo!$A$10:$A$1922,$A51)</f>
        <v>10</v>
      </c>
      <c r="C51" s="59">
        <f>MINIFS(Modelo!$E$10:$E$1922,Modelo!$A$10:$A$1922,$A51)</f>
        <v>50</v>
      </c>
      <c r="D51" s="59">
        <f>MAXIFS(Modelo!$E$10:$E$1922,Modelo!$A$10:$A$1922,$A51)</f>
        <v>63</v>
      </c>
      <c r="E51" s="59">
        <f>AVERAGEIF(Modelo!$A$10:$A$1922,$A51,Modelo!$E$10:$E$1922)</f>
        <v>57.8</v>
      </c>
      <c r="F51" s="56">
        <f>AVERAGEIF(Modelo!$A$10:$A$1922,$A51,Modelo!$I$10:$I$1922)</f>
        <v>0.6</v>
      </c>
    </row>
    <row r="52">
      <c r="A52" t="inlineStr">
        <is>
          <t>Mancera Paris</t>
        </is>
      </c>
      <c r="B52">
        <f>COUNTIF(Modelo!$A$10:$A$1922,$A52)</f>
        <v>10</v>
      </c>
      <c r="C52" s="59">
        <f>MINIFS(Modelo!$E$10:$E$1922,Modelo!$A$10:$A$1922,$A52)</f>
        <v>70</v>
      </c>
      <c r="D52" s="59">
        <f>MAXIFS(Modelo!$E$10:$E$1922,Modelo!$A$10:$A$1922,$A52)</f>
        <v>96</v>
      </c>
      <c r="E52" s="59">
        <f>AVERAGEIF(Modelo!$A$10:$A$1922,$A52,Modelo!$E$10:$E$1922)</f>
        <v>85.9</v>
      </c>
      <c r="F52" s="56">
        <f>AVERAGEIF(Modelo!$A$10:$A$1922,$A52,Modelo!$I$10:$I$1922)</f>
        <v>0.6</v>
      </c>
    </row>
    <row r="53">
      <c r="A53" t="inlineStr">
        <is>
          <t>Montale</t>
        </is>
      </c>
      <c r="B53">
        <f>COUNTIF(Modelo!$A$10:$A$1922,$A53)</f>
        <v>10</v>
      </c>
      <c r="C53" s="59">
        <f>MINIFS(Modelo!$E$10:$E$1922,Modelo!$A$10:$A$1922,$A53)</f>
        <v>70</v>
      </c>
      <c r="D53" s="59">
        <f>MAXIFS(Modelo!$E$10:$E$1922,Modelo!$A$10:$A$1922,$A53)</f>
        <v>95</v>
      </c>
      <c r="E53" s="59">
        <f>AVERAGEIF(Modelo!$A$10:$A$1922,$A53,Modelo!$E$10:$E$1922)</f>
        <v>85.9</v>
      </c>
      <c r="F53" s="56">
        <f>AVERAGEIF(Modelo!$A$10:$A$1922,$A53,Modelo!$I$10:$I$1922)</f>
        <v>0.6</v>
      </c>
    </row>
    <row r="54">
      <c r="A54" t="inlineStr">
        <is>
          <t>Paradis des Sens</t>
        </is>
      </c>
      <c r="B54">
        <f>COUNTIF(Modelo!$A$10:$A$1922,$A54)</f>
        <v>10</v>
      </c>
      <c r="C54" s="59">
        <f>MINIFS(Modelo!$E$10:$E$1922,Modelo!$A$10:$A$1922,$A54)</f>
        <v>200</v>
      </c>
      <c r="D54" s="59">
        <f>MAXIFS(Modelo!$E$10:$E$1922,Modelo!$A$10:$A$1922,$A54)</f>
        <v>200</v>
      </c>
      <c r="E54" s="59">
        <f>AVERAGEIF(Modelo!$A$10:$A$1922,$A54,Modelo!$E$10:$E$1922)</f>
        <v>200</v>
      </c>
      <c r="F54" s="56">
        <f>AVERAGEIF(Modelo!$A$10:$A$1922,$A54,Modelo!$I$10:$I$1922)</f>
        <v>0.6</v>
      </c>
    </row>
    <row r="55">
      <c r="A55" t="inlineStr">
        <is>
          <t>Thomas Kosmala</t>
        </is>
      </c>
      <c r="B55">
        <f>COUNTIF(Modelo!$A$10:$A$1922,$A55)</f>
        <v>10</v>
      </c>
      <c r="C55" s="59">
        <f>MINIFS(Modelo!$E$10:$E$1922,Modelo!$A$10:$A$1922,$A55)</f>
        <v>65</v>
      </c>
      <c r="D55" s="59">
        <f>MAXIFS(Modelo!$E$10:$E$1922,Modelo!$A$10:$A$1922,$A55)</f>
        <v>90</v>
      </c>
      <c r="E55" s="59">
        <f>AVERAGEIF(Modelo!$A$10:$A$1922,$A55,Modelo!$E$10:$E$1922)</f>
        <v>87.5</v>
      </c>
      <c r="F55" s="56">
        <f>AVERAGEIF(Modelo!$A$10:$A$1922,$A55,Modelo!$I$10:$I$1922)</f>
        <v>0.6</v>
      </c>
    </row>
    <row r="56">
      <c r="A56" t="inlineStr">
        <is>
          <t>Viktor &amp; Rolf</t>
        </is>
      </c>
      <c r="B56">
        <f>COUNTIF(Modelo!$A$10:$A$1922,$A56)</f>
        <v>10</v>
      </c>
      <c r="C56" s="59">
        <f>MINIFS(Modelo!$E$10:$E$1922,Modelo!$A$10:$A$1922,$A56)</f>
        <v>54</v>
      </c>
      <c r="D56" s="59">
        <f>MAXIFS(Modelo!$E$10:$E$1922,Modelo!$A$10:$A$1922,$A56)</f>
        <v>92</v>
      </c>
      <c r="E56" s="59">
        <f>AVERAGEIF(Modelo!$A$10:$A$1922,$A56,Modelo!$E$10:$E$1922)</f>
        <v>73.95</v>
      </c>
      <c r="F56" s="56">
        <f>AVERAGEIF(Modelo!$A$10:$A$1922,$A56,Modelo!$I$10:$I$1922)</f>
        <v>0.6</v>
      </c>
    </row>
    <row r="57">
      <c r="A57" t="inlineStr">
        <is>
          <t>Bond No. 9</t>
        </is>
      </c>
      <c r="B57">
        <f>COUNTIF(Modelo!$A$10:$A$1922,$A57)</f>
        <v>9</v>
      </c>
      <c r="C57" s="59">
        <f>MINIFS(Modelo!$E$10:$E$1922,Modelo!$A$10:$A$1922,$A57)</f>
        <v>190</v>
      </c>
      <c r="D57" s="59">
        <f>MAXIFS(Modelo!$E$10:$E$1922,Modelo!$A$10:$A$1922,$A57)</f>
        <v>220</v>
      </c>
      <c r="E57" s="59">
        <f>AVERAGEIF(Modelo!$A$10:$A$1922,$A57,Modelo!$E$10:$E$1922)</f>
        <v>198.8888889</v>
      </c>
      <c r="F57" s="56">
        <f>AVERAGEIF(Modelo!$A$10:$A$1922,$A57,Modelo!$I$10:$I$1922)</f>
        <v>0.6</v>
      </c>
    </row>
    <row r="58">
      <c r="A58" t="inlineStr">
        <is>
          <t>Britney Spears</t>
        </is>
      </c>
      <c r="B58">
        <f>COUNTIF(Modelo!$A$10:$A$1922,$A58)</f>
        <v>9</v>
      </c>
      <c r="C58" s="59">
        <f>MINIFS(Modelo!$E$10:$E$1922,Modelo!$A$10:$A$1922,$A58)</f>
        <v>15</v>
      </c>
      <c r="D58" s="59">
        <f>MAXIFS(Modelo!$E$10:$E$1922,Modelo!$A$10:$A$1922,$A58)</f>
        <v>22.5</v>
      </c>
      <c r="E58" s="59">
        <f>AVERAGEIF(Modelo!$A$10:$A$1922,$A58,Modelo!$E$10:$E$1922)</f>
        <v>18.75</v>
      </c>
      <c r="F58" s="56">
        <f>AVERAGEIF(Modelo!$A$10:$A$1922,$A58,Modelo!$I$10:$I$1922)</f>
        <v>0.6</v>
      </c>
    </row>
    <row r="59">
      <c r="A59" t="inlineStr">
        <is>
          <t>Haute Fragrance Company</t>
        </is>
      </c>
      <c r="B59">
        <f>COUNTIF(Modelo!$A$10:$A$1922,$A59)</f>
        <v>9</v>
      </c>
      <c r="C59" s="59">
        <f>MINIFS(Modelo!$E$10:$E$1922,Modelo!$A$10:$A$1922,$A59)</f>
        <v>300</v>
      </c>
      <c r="D59" s="59">
        <f>MAXIFS(Modelo!$E$10:$E$1922,Modelo!$A$10:$A$1922,$A59)</f>
        <v>300</v>
      </c>
      <c r="E59" s="59">
        <f>AVERAGEIF(Modelo!$A$10:$A$1922,$A59,Modelo!$E$10:$E$1922)</f>
        <v>300</v>
      </c>
      <c r="F59" s="56">
        <f>AVERAGEIF(Modelo!$A$10:$A$1922,$A59,Modelo!$I$10:$I$1922)</f>
        <v>0.6</v>
      </c>
    </row>
    <row r="60">
      <c r="A60" t="inlineStr">
        <is>
          <t>Maison Asrar</t>
        </is>
      </c>
      <c r="B60">
        <f>COUNTIF(Modelo!$A$10:$A$1922,$A60)</f>
        <v>9</v>
      </c>
      <c r="C60" s="59">
        <f>MINIFS(Modelo!$E$10:$E$1922,Modelo!$A$10:$A$1922,$A60)</f>
        <v>25</v>
      </c>
      <c r="D60" s="59">
        <f>MAXIFS(Modelo!$E$10:$E$1922,Modelo!$A$10:$A$1922,$A60)</f>
        <v>40</v>
      </c>
      <c r="E60" s="59">
        <f>AVERAGEIF(Modelo!$A$10:$A$1922,$A60,Modelo!$E$10:$E$1922)</f>
        <v>31.22222222</v>
      </c>
      <c r="F60" s="56">
        <f>AVERAGEIF(Modelo!$A$10:$A$1922,$A60,Modelo!$I$10:$I$1922)</f>
        <v>0.6</v>
      </c>
    </row>
    <row r="61">
      <c r="A61" t="inlineStr">
        <is>
          <t>Mizensir</t>
        </is>
      </c>
      <c r="B61">
        <f>COUNTIF(Modelo!$A$10:$A$1922,$A61)</f>
        <v>9</v>
      </c>
      <c r="C61" s="59">
        <f>MINIFS(Modelo!$E$10:$E$1922,Modelo!$A$10:$A$1922,$A61)</f>
        <v>155</v>
      </c>
      <c r="D61" s="59">
        <f>MAXIFS(Modelo!$E$10:$E$1922,Modelo!$A$10:$A$1922,$A61)</f>
        <v>155</v>
      </c>
      <c r="E61" s="59">
        <f>AVERAGEIF(Modelo!$A$10:$A$1922,$A61,Modelo!$E$10:$E$1922)</f>
        <v>155</v>
      </c>
      <c r="F61" s="56">
        <f>AVERAGEIF(Modelo!$A$10:$A$1922,$A61,Modelo!$I$10:$I$1922)</f>
        <v>0.6</v>
      </c>
    </row>
    <row r="62">
      <c r="A62" t="inlineStr">
        <is>
          <t>Narciso Rodriguez</t>
        </is>
      </c>
      <c r="B62">
        <f>COUNTIF(Modelo!$A$10:$A$1922,$A62)</f>
        <v>9</v>
      </c>
      <c r="C62" s="59">
        <f>MINIFS(Modelo!$E$10:$E$1922,Modelo!$A$10:$A$1922,$A62)</f>
        <v>59.5</v>
      </c>
      <c r="D62" s="59">
        <f>MAXIFS(Modelo!$E$10:$E$1922,Modelo!$A$10:$A$1922,$A62)</f>
        <v>100</v>
      </c>
      <c r="E62" s="59">
        <f>AVERAGEIF(Modelo!$A$10:$A$1922,$A62,Modelo!$E$10:$E$1922)</f>
        <v>73.5</v>
      </c>
      <c r="F62" s="56">
        <f>AVERAGEIF(Modelo!$A$10:$A$1922,$A62,Modelo!$I$10:$I$1922)</f>
        <v>0.6</v>
      </c>
    </row>
    <row r="63">
      <c r="A63" t="inlineStr">
        <is>
          <t>Paris Corner</t>
        </is>
      </c>
      <c r="B63">
        <f>COUNTIF(Modelo!$A$10:$A$1922,$A63)</f>
        <v>9</v>
      </c>
      <c r="C63" s="59">
        <f>MINIFS(Modelo!$E$10:$E$1922,Modelo!$A$10:$A$1922,$A63)</f>
        <v>25</v>
      </c>
      <c r="D63" s="59">
        <f>MAXIFS(Modelo!$E$10:$E$1922,Modelo!$A$10:$A$1922,$A63)</f>
        <v>30</v>
      </c>
      <c r="E63" s="59">
        <f>AVERAGEIF(Modelo!$A$10:$A$1922,$A63,Modelo!$E$10:$E$1922)</f>
        <v>27.11111111</v>
      </c>
      <c r="F63" s="56">
        <f>AVERAGEIF(Modelo!$A$10:$A$1922,$A63,Modelo!$I$10:$I$1922)</f>
        <v>0.6</v>
      </c>
    </row>
    <row r="64">
      <c r="A64" t="inlineStr">
        <is>
          <t>Rayhaan</t>
        </is>
      </c>
      <c r="B64">
        <f>COUNTIF(Modelo!$A$10:$A$1922,$A64)</f>
        <v>9</v>
      </c>
      <c r="C64" s="59">
        <f>MINIFS(Modelo!$E$10:$E$1922,Modelo!$A$10:$A$1922,$A64)</f>
        <v>20.5</v>
      </c>
      <c r="D64" s="59">
        <f>MAXIFS(Modelo!$E$10:$E$1922,Modelo!$A$10:$A$1922,$A64)</f>
        <v>40</v>
      </c>
      <c r="E64" s="59">
        <f>AVERAGEIF(Modelo!$A$10:$A$1922,$A64,Modelo!$E$10:$E$1922)</f>
        <v>29.16666667</v>
      </c>
      <c r="F64" s="56">
        <f>AVERAGEIF(Modelo!$A$10:$A$1922,$A64,Modelo!$I$10:$I$1922)</f>
        <v>0.6</v>
      </c>
    </row>
    <row r="65">
      <c r="A65" t="inlineStr">
        <is>
          <t>Smart Collection</t>
        </is>
      </c>
      <c r="B65">
        <f>COUNTIF(Modelo!$A$10:$A$1922,$A65)</f>
        <v>9</v>
      </c>
      <c r="C65" s="59">
        <f>MINIFS(Modelo!$E$10:$E$1922,Modelo!$A$10:$A$1922,$A65)</f>
        <v>5</v>
      </c>
      <c r="D65" s="59">
        <f>MAXIFS(Modelo!$E$10:$E$1922,Modelo!$A$10:$A$1922,$A65)</f>
        <v>5</v>
      </c>
      <c r="E65" s="59">
        <f>AVERAGEIF(Modelo!$A$10:$A$1922,$A65,Modelo!$E$10:$E$1922)</f>
        <v>5</v>
      </c>
      <c r="F65" s="56">
        <f>AVERAGEIF(Modelo!$A$10:$A$1922,$A65,Modelo!$I$10:$I$1922)</f>
        <v>0.6</v>
      </c>
    </row>
    <row r="66">
      <c r="A66" t="inlineStr">
        <is>
          <t>Zakat</t>
        </is>
      </c>
      <c r="B66">
        <f>COUNTIF(Modelo!$A$10:$A$1922,$A66)</f>
        <v>9</v>
      </c>
      <c r="C66" s="59">
        <f>MINIFS(Modelo!$E$10:$E$1922,Modelo!$A$10:$A$1922,$A66)</f>
        <v>16</v>
      </c>
      <c r="D66" s="59">
        <f>MAXIFS(Modelo!$E$10:$E$1922,Modelo!$A$10:$A$1922,$A66)</f>
        <v>26</v>
      </c>
      <c r="E66" s="59">
        <f>AVERAGEIF(Modelo!$A$10:$A$1922,$A66,Modelo!$E$10:$E$1922)</f>
        <v>20.11111111</v>
      </c>
      <c r="F66" s="56">
        <f>AVERAGEIF(Modelo!$A$10:$A$1922,$A66,Modelo!$I$10:$I$1922)</f>
        <v>0.6</v>
      </c>
    </row>
    <row r="67">
      <c r="A67" t="inlineStr">
        <is>
          <t>Gritti</t>
        </is>
      </c>
      <c r="B67">
        <f>COUNTIF(Modelo!$A$10:$A$1922,$A67)</f>
        <v>8</v>
      </c>
      <c r="C67" s="59">
        <f>MINIFS(Modelo!$E$10:$E$1922,Modelo!$A$10:$A$1922,$A67)</f>
        <v>110</v>
      </c>
      <c r="D67" s="59">
        <f>MAXIFS(Modelo!$E$10:$E$1922,Modelo!$A$10:$A$1922,$A67)</f>
        <v>190</v>
      </c>
      <c r="E67" s="59">
        <f>AVERAGEIF(Modelo!$A$10:$A$1922,$A67,Modelo!$E$10:$E$1922)</f>
        <v>159.75</v>
      </c>
      <c r="F67" s="56">
        <f>AVERAGEIF(Modelo!$A$10:$A$1922,$A67,Modelo!$I$10:$I$1922)</f>
        <v>0.6</v>
      </c>
    </row>
    <row r="68">
      <c r="A68" t="inlineStr">
        <is>
          <t>Marquisa Dubai</t>
        </is>
      </c>
      <c r="B68">
        <f>COUNTIF(Modelo!$A$10:$A$1922,$A68)</f>
        <v>8</v>
      </c>
      <c r="C68" s="59">
        <f>MINIFS(Modelo!$E$10:$E$1922,Modelo!$A$10:$A$1922,$A68)</f>
        <v>20</v>
      </c>
      <c r="D68" s="59">
        <f>MAXIFS(Modelo!$E$10:$E$1922,Modelo!$A$10:$A$1922,$A68)</f>
        <v>25</v>
      </c>
      <c r="E68" s="59">
        <f>AVERAGEIF(Modelo!$A$10:$A$1922,$A68,Modelo!$E$10:$E$1922)</f>
        <v>22.5</v>
      </c>
      <c r="F68" s="56">
        <f>AVERAGEIF(Modelo!$A$10:$A$1922,$A68,Modelo!$I$10:$I$1922)</f>
        <v>0.6</v>
      </c>
    </row>
    <row r="69">
      <c r="A69" t="inlineStr">
        <is>
          <t>Modyafa</t>
        </is>
      </c>
      <c r="B69">
        <f>COUNTIF(Modelo!$A$10:$A$1922,$A69)</f>
        <v>8</v>
      </c>
      <c r="C69" s="59">
        <f>MINIFS(Modelo!$E$10:$E$1922,Modelo!$A$10:$A$1922,$A69)</f>
        <v>22</v>
      </c>
      <c r="D69" s="59">
        <f>MAXIFS(Modelo!$E$10:$E$1922,Modelo!$A$10:$A$1922,$A69)</f>
        <v>25</v>
      </c>
      <c r="E69" s="59">
        <f>AVERAGEIF(Modelo!$A$10:$A$1922,$A69,Modelo!$E$10:$E$1922)</f>
        <v>22.75</v>
      </c>
      <c r="F69" s="56">
        <f>AVERAGEIF(Modelo!$A$10:$A$1922,$A69,Modelo!$I$10:$I$1922)</f>
        <v>0.6</v>
      </c>
    </row>
    <row r="70">
      <c r="A70" t="inlineStr">
        <is>
          <t>Orientica</t>
        </is>
      </c>
      <c r="B70">
        <f>COUNTIF(Modelo!$A$10:$A$1922,$A70)</f>
        <v>8</v>
      </c>
      <c r="C70" s="59">
        <f>MINIFS(Modelo!$E$10:$E$1922,Modelo!$A$10:$A$1922,$A70)</f>
        <v>44</v>
      </c>
      <c r="D70" s="59">
        <f>MAXIFS(Modelo!$E$10:$E$1922,Modelo!$A$10:$A$1922,$A70)</f>
        <v>64</v>
      </c>
      <c r="E70" s="59">
        <f>AVERAGEIF(Modelo!$A$10:$A$1922,$A70,Modelo!$E$10:$E$1922)</f>
        <v>52.59125</v>
      </c>
      <c r="F70" s="56">
        <f>AVERAGEIF(Modelo!$A$10:$A$1922,$A70,Modelo!$I$10:$I$1922)</f>
        <v>0.6</v>
      </c>
    </row>
    <row r="71">
      <c r="A71" t="inlineStr">
        <is>
          <t>Sospiro</t>
        </is>
      </c>
      <c r="B71">
        <f>COUNTIF(Modelo!$A$10:$A$1922,$A71)</f>
        <v>8</v>
      </c>
      <c r="C71" s="59">
        <f>MINIFS(Modelo!$E$10:$E$1922,Modelo!$A$10:$A$1922,$A71)</f>
        <v>119</v>
      </c>
      <c r="D71" s="59">
        <f>MAXIFS(Modelo!$E$10:$E$1922,Modelo!$A$10:$A$1922,$A71)</f>
        <v>213</v>
      </c>
      <c r="E71" s="59">
        <f>AVERAGEIF(Modelo!$A$10:$A$1922,$A71,Modelo!$E$10:$E$1922)</f>
        <v>176.625</v>
      </c>
      <c r="F71" s="56">
        <f>AVERAGEIF(Modelo!$A$10:$A$1922,$A71,Modelo!$I$10:$I$1922)</f>
        <v>0.6</v>
      </c>
    </row>
    <row r="72">
      <c r="A72" t="inlineStr">
        <is>
          <t>Frederic Malle</t>
        </is>
      </c>
      <c r="B72">
        <f>COUNTIF(Modelo!$A$10:$A$1922,$A72)</f>
        <v>7</v>
      </c>
      <c r="C72" s="59">
        <f>MINIFS(Modelo!$E$10:$E$1922,Modelo!$A$10:$A$1922,$A72)</f>
        <v>280</v>
      </c>
      <c r="D72" s="59">
        <f>MAXIFS(Modelo!$E$10:$E$1922,Modelo!$A$10:$A$1922,$A72)</f>
        <v>320</v>
      </c>
      <c r="E72" s="59">
        <f>AVERAGEIF(Modelo!$A$10:$A$1922,$A72,Modelo!$E$10:$E$1922)</f>
        <v>298.5714286</v>
      </c>
      <c r="F72" s="56">
        <f>AVERAGEIF(Modelo!$A$10:$A$1922,$A72,Modelo!$I$10:$I$1922)</f>
        <v>0.6</v>
      </c>
    </row>
    <row r="73">
      <c r="A73" t="inlineStr">
        <is>
          <t>Ormonde Jayne</t>
        </is>
      </c>
      <c r="B73">
        <f>COUNTIF(Modelo!$A$10:$A$1922,$A73)</f>
        <v>7</v>
      </c>
      <c r="C73" s="59">
        <f>MINIFS(Modelo!$E$10:$E$1922,Modelo!$A$10:$A$1922,$A73)</f>
        <v>210</v>
      </c>
      <c r="D73" s="59">
        <f>MAXIFS(Modelo!$E$10:$E$1922,Modelo!$A$10:$A$1922,$A73)</f>
        <v>210</v>
      </c>
      <c r="E73" s="59">
        <f>AVERAGEIF(Modelo!$A$10:$A$1922,$A73,Modelo!$E$10:$E$1922)</f>
        <v>210</v>
      </c>
      <c r="F73" s="56">
        <f>AVERAGEIF(Modelo!$A$10:$A$1922,$A73,Modelo!$I$10:$I$1922)</f>
        <v>0.6</v>
      </c>
    </row>
    <row r="74">
      <c r="A74" t="inlineStr">
        <is>
          <t>Byredo</t>
        </is>
      </c>
      <c r="B74">
        <f>COUNTIF(Modelo!$A$10:$A$1922,$A74)</f>
        <v>6</v>
      </c>
      <c r="C74" s="59">
        <f>MINIFS(Modelo!$E$10:$E$1922,Modelo!$A$10:$A$1922,$A74)</f>
        <v>175</v>
      </c>
      <c r="D74" s="59">
        <f>MAXIFS(Modelo!$E$10:$E$1922,Modelo!$A$10:$A$1922,$A74)</f>
        <v>280</v>
      </c>
      <c r="E74" s="59">
        <f>AVERAGEIF(Modelo!$A$10:$A$1922,$A74,Modelo!$E$10:$E$1922)</f>
        <v>250</v>
      </c>
      <c r="F74" s="56">
        <f>AVERAGEIF(Modelo!$A$10:$A$1922,$A74,Modelo!$I$10:$I$1922)</f>
        <v>0.6</v>
      </c>
    </row>
    <row r="75">
      <c r="A75" t="inlineStr">
        <is>
          <t>Cacharel</t>
        </is>
      </c>
      <c r="B75">
        <f>COUNTIF(Modelo!$A$10:$A$1922,$A75)</f>
        <v>6</v>
      </c>
      <c r="C75" s="59">
        <f>MINIFS(Modelo!$E$10:$E$1922,Modelo!$A$10:$A$1922,$A75)</f>
        <v>21</v>
      </c>
      <c r="D75" s="59">
        <f>MAXIFS(Modelo!$E$10:$E$1922,Modelo!$A$10:$A$1922,$A75)</f>
        <v>31.5</v>
      </c>
      <c r="E75" s="59">
        <f>AVERAGEIF(Modelo!$A$10:$A$1922,$A75,Modelo!$E$10:$E$1922)</f>
        <v>27.41666667</v>
      </c>
      <c r="F75" s="56">
        <f>AVERAGEIF(Modelo!$A$10:$A$1922,$A75,Modelo!$I$10:$I$1922)</f>
        <v>0.6</v>
      </c>
    </row>
    <row r="76">
      <c r="A76" t="inlineStr">
        <is>
          <t>Kenzo</t>
        </is>
      </c>
      <c r="B76">
        <f>COUNTIF(Modelo!$A$10:$A$1922,$A76)</f>
        <v>6</v>
      </c>
      <c r="C76" s="59">
        <f>MINIFS(Modelo!$E$10:$E$1922,Modelo!$A$10:$A$1922,$A76)</f>
        <v>23</v>
      </c>
      <c r="D76" s="59">
        <f>MAXIFS(Modelo!$E$10:$E$1922,Modelo!$A$10:$A$1922,$A76)</f>
        <v>70</v>
      </c>
      <c r="E76" s="59">
        <f>AVERAGEIF(Modelo!$A$10:$A$1922,$A76,Modelo!$E$10:$E$1922)</f>
        <v>50.50833333</v>
      </c>
      <c r="F76" s="56">
        <f>AVERAGEIF(Modelo!$A$10:$A$1922,$A76,Modelo!$I$10:$I$1922)</f>
        <v>0.6</v>
      </c>
    </row>
    <row r="77">
      <c r="A77" t="inlineStr">
        <is>
          <t>Mawwal</t>
        </is>
      </c>
      <c r="B77">
        <f>COUNTIF(Modelo!$A$10:$A$1922,$A77)</f>
        <v>6</v>
      </c>
      <c r="C77" s="59">
        <f>MINIFS(Modelo!$E$10:$E$1922,Modelo!$A$10:$A$1922,$A77)</f>
        <v>15</v>
      </c>
      <c r="D77" s="59">
        <f>MAXIFS(Modelo!$E$10:$E$1922,Modelo!$A$10:$A$1922,$A77)</f>
        <v>23</v>
      </c>
      <c r="E77" s="59">
        <f>AVERAGEIF(Modelo!$A$10:$A$1922,$A77,Modelo!$E$10:$E$1922)</f>
        <v>19.83333333</v>
      </c>
      <c r="F77" s="56">
        <f>AVERAGEIF(Modelo!$A$10:$A$1922,$A77,Modelo!$I$10:$I$1922)</f>
        <v>0.6</v>
      </c>
    </row>
    <row r="78">
      <c r="A78" t="inlineStr">
        <is>
          <t>Nishane</t>
        </is>
      </c>
      <c r="B78">
        <f>COUNTIF(Modelo!$A$10:$A$1922,$A78)</f>
        <v>6</v>
      </c>
      <c r="C78" s="59">
        <f>MINIFS(Modelo!$E$10:$E$1922,Modelo!$A$10:$A$1922,$A78)</f>
        <v>162</v>
      </c>
      <c r="D78" s="59">
        <f>MAXIFS(Modelo!$E$10:$E$1922,Modelo!$A$10:$A$1922,$A78)</f>
        <v>290</v>
      </c>
      <c r="E78" s="59">
        <f>AVERAGEIF(Modelo!$A$10:$A$1922,$A78,Modelo!$E$10:$E$1922)</f>
        <v>210.8333333</v>
      </c>
      <c r="F78" s="56">
        <f>AVERAGEIF(Modelo!$A$10:$A$1922,$A78,Modelo!$I$10:$I$1922)</f>
        <v>0.6</v>
      </c>
    </row>
    <row r="79">
      <c r="A79" t="inlineStr">
        <is>
          <t>Ralph Lauren</t>
        </is>
      </c>
      <c r="B79">
        <f>COUNTIF(Modelo!$A$10:$A$1922,$A79)</f>
        <v>6</v>
      </c>
      <c r="C79" s="59">
        <f>MINIFS(Modelo!$E$10:$E$1922,Modelo!$A$10:$A$1922,$A79)</f>
        <v>50</v>
      </c>
      <c r="D79" s="59">
        <f>MAXIFS(Modelo!$E$10:$E$1922,Modelo!$A$10:$A$1922,$A79)</f>
        <v>70</v>
      </c>
      <c r="E79" s="59">
        <f>AVERAGEIF(Modelo!$A$10:$A$1922,$A79,Modelo!$E$10:$E$1922)</f>
        <v>57.16666667</v>
      </c>
      <c r="F79" s="56">
        <f>AVERAGEIF(Modelo!$A$10:$A$1922,$A79,Modelo!$I$10:$I$1922)</f>
        <v>0.6</v>
      </c>
    </row>
    <row r="80">
      <c r="A80" t="inlineStr">
        <is>
          <t>The House of Oud</t>
        </is>
      </c>
      <c r="B80">
        <f>COUNTIF(Modelo!$A$10:$A$1922,$A80)</f>
        <v>6</v>
      </c>
      <c r="C80" s="59">
        <f>MINIFS(Modelo!$E$10:$E$1922,Modelo!$A$10:$A$1922,$A80)</f>
        <v>195</v>
      </c>
      <c r="D80" s="59">
        <f>MAXIFS(Modelo!$E$10:$E$1922,Modelo!$A$10:$A$1922,$A80)</f>
        <v>275</v>
      </c>
      <c r="E80" s="59">
        <f>AVERAGEIF(Modelo!$A$10:$A$1922,$A80,Modelo!$E$10:$E$1922)</f>
        <v>229.3333333</v>
      </c>
      <c r="F80" s="56">
        <f>AVERAGEIF(Modelo!$A$10:$A$1922,$A80,Modelo!$I$10:$I$1922)</f>
        <v>0.6</v>
      </c>
    </row>
    <row r="81">
      <c r="A81" t="inlineStr">
        <is>
          <t>12 Parfumeurs Français</t>
        </is>
      </c>
      <c r="B81">
        <f>COUNTIF(Modelo!$A$10:$A$1922,$A81)</f>
        <v>5</v>
      </c>
      <c r="C81" s="59">
        <f>MINIFS(Modelo!$E$10:$E$1922,Modelo!$A$10:$A$1922,$A81)</f>
        <v>155</v>
      </c>
      <c r="D81" s="59">
        <f>MAXIFS(Modelo!$E$10:$E$1922,Modelo!$A$10:$A$1922,$A81)</f>
        <v>155</v>
      </c>
      <c r="E81" s="59">
        <f>AVERAGEIF(Modelo!$A$10:$A$1922,$A81,Modelo!$E$10:$E$1922)</f>
        <v>155</v>
      </c>
      <c r="F81" s="56">
        <f>AVERAGEIF(Modelo!$A$10:$A$1922,$A81,Modelo!$I$10:$I$1922)</f>
        <v>0.6</v>
      </c>
    </row>
    <row r="82">
      <c r="A82" t="inlineStr">
        <is>
          <t>Nina Ricci</t>
        </is>
      </c>
      <c r="B82">
        <f>COUNTIF(Modelo!$A$10:$A$1922,$A82)</f>
        <v>5</v>
      </c>
      <c r="C82" s="59">
        <f>MINIFS(Modelo!$E$10:$E$1922,Modelo!$A$10:$A$1922,$A82)</f>
        <v>26</v>
      </c>
      <c r="D82" s="59">
        <f>MAXIFS(Modelo!$E$10:$E$1922,Modelo!$A$10:$A$1922,$A82)</f>
        <v>52</v>
      </c>
      <c r="E82" s="59">
        <f>AVERAGEIF(Modelo!$A$10:$A$1922,$A82,Modelo!$E$10:$E$1922)</f>
        <v>42.1</v>
      </c>
      <c r="F82" s="56">
        <f>AVERAGEIF(Modelo!$A$10:$A$1922,$A82,Modelo!$I$10:$I$1922)</f>
        <v>0.6</v>
      </c>
    </row>
    <row r="83">
      <c r="A83" t="inlineStr">
        <is>
          <t>Shakira</t>
        </is>
      </c>
      <c r="B83">
        <f>COUNTIF(Modelo!$A$10:$A$1922,$A83)</f>
        <v>5</v>
      </c>
      <c r="C83" s="59">
        <f>MINIFS(Modelo!$E$10:$E$1922,Modelo!$A$10:$A$1922,$A83)</f>
        <v>14.25</v>
      </c>
      <c r="D83" s="59">
        <f>MAXIFS(Modelo!$E$10:$E$1922,Modelo!$A$10:$A$1922,$A83)</f>
        <v>18.5</v>
      </c>
      <c r="E83" s="59">
        <f>AVERAGEIF(Modelo!$A$10:$A$1922,$A83,Modelo!$E$10:$E$1922)</f>
        <v>16</v>
      </c>
      <c r="F83" s="56">
        <f>AVERAGEIF(Modelo!$A$10:$A$1922,$A83,Modelo!$I$10:$I$1922)</f>
        <v>0.6</v>
      </c>
    </row>
    <row r="84">
      <c r="A84" t="inlineStr">
        <is>
          <t>Thameen</t>
        </is>
      </c>
      <c r="B84">
        <f>COUNTIF(Modelo!$A$10:$A$1922,$A84)</f>
        <v>5</v>
      </c>
      <c r="C84" s="59">
        <f>MINIFS(Modelo!$E$10:$E$1922,Modelo!$A$10:$A$1922,$A84)</f>
        <v>195</v>
      </c>
      <c r="D84" s="59">
        <f>MAXIFS(Modelo!$E$10:$E$1922,Modelo!$A$10:$A$1922,$A84)</f>
        <v>240</v>
      </c>
      <c r="E84" s="59">
        <f>AVERAGEIF(Modelo!$A$10:$A$1922,$A84,Modelo!$E$10:$E$1922)</f>
        <v>215</v>
      </c>
      <c r="F84" s="56">
        <f>AVERAGEIF(Modelo!$A$10:$A$1922,$A84,Modelo!$I$10:$I$1922)</f>
        <v>0.6</v>
      </c>
    </row>
    <row r="85">
      <c r="A85" t="inlineStr">
        <is>
          <t>Initio</t>
        </is>
      </c>
      <c r="B85">
        <f>COUNTIF(Modelo!$A$10:$A$1922,$A85)</f>
        <v>4</v>
      </c>
      <c r="C85" s="59">
        <f>MINIFS(Modelo!$E$10:$E$1922,Modelo!$A$10:$A$1922,$A85)</f>
        <v>240</v>
      </c>
      <c r="D85" s="59">
        <f>MAXIFS(Modelo!$E$10:$E$1922,Modelo!$A$10:$A$1922,$A85)</f>
        <v>280</v>
      </c>
      <c r="E85" s="59">
        <f>AVERAGEIF(Modelo!$A$10:$A$1922,$A85,Modelo!$E$10:$E$1922)</f>
        <v>262.5</v>
      </c>
      <c r="F85" s="56">
        <f>AVERAGEIF(Modelo!$A$10:$A$1922,$A85,Modelo!$I$10:$I$1922)</f>
        <v>0.6</v>
      </c>
    </row>
    <row r="86">
      <c r="A86" t="inlineStr">
        <is>
          <t>Jacques Bogart</t>
        </is>
      </c>
      <c r="B86">
        <f>COUNTIF(Modelo!$A$10:$A$1922,$A86)</f>
        <v>4</v>
      </c>
      <c r="C86" s="59">
        <f>MINIFS(Modelo!$E$10:$E$1922,Modelo!$A$10:$A$1922,$A86)</f>
        <v>14.5</v>
      </c>
      <c r="D86" s="59">
        <f>MAXIFS(Modelo!$E$10:$E$1922,Modelo!$A$10:$A$1922,$A86)</f>
        <v>25</v>
      </c>
      <c r="E86" s="59">
        <f>AVERAGEIF(Modelo!$A$10:$A$1922,$A86,Modelo!$E$10:$E$1922)</f>
        <v>18.1225</v>
      </c>
      <c r="F86" s="56">
        <f>AVERAGEIF(Modelo!$A$10:$A$1922,$A86,Modelo!$I$10:$I$1922)</f>
        <v>0.6</v>
      </c>
    </row>
    <row r="87">
      <c r="A87" t="inlineStr">
        <is>
          <t>Alexandre J</t>
        </is>
      </c>
      <c r="B87">
        <f>COUNTIF(Modelo!$A$10:$A$1922,$A87)</f>
        <v>3</v>
      </c>
      <c r="C87" s="59">
        <f>MINIFS(Modelo!$E$10:$E$1922,Modelo!$A$10:$A$1922,$A87)</f>
        <v>42</v>
      </c>
      <c r="D87" s="59">
        <f>MAXIFS(Modelo!$E$10:$E$1922,Modelo!$A$10:$A$1922,$A87)</f>
        <v>240</v>
      </c>
      <c r="E87" s="59">
        <f>AVERAGEIF(Modelo!$A$10:$A$1922,$A87,Modelo!$E$10:$E$1922)</f>
        <v>119</v>
      </c>
      <c r="F87" s="56">
        <f>AVERAGEIF(Modelo!$A$10:$A$1922,$A87,Modelo!$I$10:$I$1922)</f>
        <v>0.6</v>
      </c>
    </row>
    <row r="88">
      <c r="A88" t="inlineStr">
        <is>
          <t>Elie Saab</t>
        </is>
      </c>
      <c r="B88">
        <f>COUNTIF(Modelo!$A$10:$A$1922,$A88)</f>
        <v>3</v>
      </c>
      <c r="C88" s="59">
        <f>MINIFS(Modelo!$E$10:$E$1922,Modelo!$A$10:$A$1922,$A88)</f>
        <v>54</v>
      </c>
      <c r="D88" s="59">
        <f>MAXIFS(Modelo!$E$10:$E$1922,Modelo!$A$10:$A$1922,$A88)</f>
        <v>84</v>
      </c>
      <c r="E88" s="59">
        <f>AVERAGEIF(Modelo!$A$10:$A$1922,$A88,Modelo!$E$10:$E$1922)</f>
        <v>64.66666667</v>
      </c>
      <c r="F88" s="56">
        <f>AVERAGEIF(Modelo!$A$10:$A$1922,$A88,Modelo!$I$10:$I$1922)</f>
        <v>0.6</v>
      </c>
    </row>
    <row r="89">
      <c r="A89" t="inlineStr">
        <is>
          <t>Jo Malone</t>
        </is>
      </c>
      <c r="B89">
        <f>COUNTIF(Modelo!$A$10:$A$1922,$A89)</f>
        <v>3</v>
      </c>
      <c r="C89" s="59">
        <f>MINIFS(Modelo!$E$10:$E$1922,Modelo!$A$10:$A$1922,$A89)</f>
        <v>115</v>
      </c>
      <c r="D89" s="59">
        <f>MAXIFS(Modelo!$E$10:$E$1922,Modelo!$A$10:$A$1922,$A89)</f>
        <v>270</v>
      </c>
      <c r="E89" s="59">
        <f>AVERAGEIF(Modelo!$A$10:$A$1922,$A89,Modelo!$E$10:$E$1922)</f>
        <v>180.6666667</v>
      </c>
      <c r="F89" s="56">
        <f>AVERAGEIF(Modelo!$A$10:$A$1922,$A89,Modelo!$I$10:$I$1922)</f>
        <v>0.6</v>
      </c>
    </row>
    <row r="90">
      <c r="A90" t="inlineStr">
        <is>
          <t>Kilian</t>
        </is>
      </c>
      <c r="B90">
        <f>COUNTIF(Modelo!$A$10:$A$1922,$A90)</f>
        <v>3</v>
      </c>
      <c r="C90" s="59">
        <f>MINIFS(Modelo!$E$10:$E$1922,Modelo!$A$10:$A$1922,$A90)</f>
        <v>145</v>
      </c>
      <c r="D90" s="59">
        <f>MAXIFS(Modelo!$E$10:$E$1922,Modelo!$A$10:$A$1922,$A90)</f>
        <v>175</v>
      </c>
      <c r="E90" s="59">
        <f>AVERAGEIF(Modelo!$A$10:$A$1922,$A90,Modelo!$E$10:$E$1922)</f>
        <v>163.3333333</v>
      </c>
      <c r="F90" s="56">
        <f>AVERAGEIF(Modelo!$A$10:$A$1922,$A90,Modelo!$I$10:$I$1922)</f>
        <v>0.6</v>
      </c>
    </row>
    <row r="91">
      <c r="A91" t="inlineStr">
        <is>
          <t>Le Labo</t>
        </is>
      </c>
      <c r="B91">
        <f>COUNTIF(Modelo!$A$10:$A$1922,$A91)</f>
        <v>3</v>
      </c>
      <c r="C91" s="59">
        <f>MINIFS(Modelo!$E$10:$E$1922,Modelo!$A$10:$A$1922,$A91)</f>
        <v>140</v>
      </c>
      <c r="D91" s="59">
        <f>MAXIFS(Modelo!$E$10:$E$1922,Modelo!$A$10:$A$1922,$A91)</f>
        <v>250</v>
      </c>
      <c r="E91" s="59">
        <f>AVERAGEIF(Modelo!$A$10:$A$1922,$A91,Modelo!$E$10:$E$1922)</f>
        <v>213.3333333</v>
      </c>
      <c r="F91" s="56">
        <f>AVERAGEIF(Modelo!$A$10:$A$1922,$A91,Modelo!$I$10:$I$1922)</f>
        <v>0.6</v>
      </c>
    </row>
    <row r="92">
      <c r="A92" t="inlineStr">
        <is>
          <t>Maison Crivelli</t>
        </is>
      </c>
      <c r="B92">
        <f>COUNTIF(Modelo!$A$10:$A$1922,$A92)</f>
        <v>3</v>
      </c>
      <c r="C92" s="59">
        <f>MINIFS(Modelo!$E$10:$E$1922,Modelo!$A$10:$A$1922,$A92)</f>
        <v>240</v>
      </c>
      <c r="D92" s="59">
        <f>MAXIFS(Modelo!$E$10:$E$1922,Modelo!$A$10:$A$1922,$A92)</f>
        <v>240</v>
      </c>
      <c r="E92" s="59">
        <f>AVERAGEIF(Modelo!$A$10:$A$1922,$A92,Modelo!$E$10:$E$1922)</f>
        <v>240</v>
      </c>
      <c r="F92" s="56">
        <f>AVERAGEIF(Modelo!$A$10:$A$1922,$A92,Modelo!$I$10:$I$1922)</f>
        <v>0.6</v>
      </c>
    </row>
    <row r="93">
      <c r="A93" t="inlineStr">
        <is>
          <t>Thoq Al Hawamer</t>
        </is>
      </c>
      <c r="B93">
        <f>COUNTIF(Modelo!$A$10:$A$1922,$A93)</f>
        <v>3</v>
      </c>
      <c r="C93" s="59">
        <f>MINIFS(Modelo!$E$10:$E$1922,Modelo!$A$10:$A$1922,$A93)</f>
        <v>8</v>
      </c>
      <c r="D93" s="59">
        <f>MAXIFS(Modelo!$E$10:$E$1922,Modelo!$A$10:$A$1922,$A93)</f>
        <v>8</v>
      </c>
      <c r="E93" s="59">
        <f>AVERAGEIF(Modelo!$A$10:$A$1922,$A93,Modelo!$E$10:$E$1922)</f>
        <v>8</v>
      </c>
      <c r="F93" s="56">
        <f>AVERAGEIF(Modelo!$A$10:$A$1922,$A93,Modelo!$I$10:$I$1922)</f>
        <v>0.6</v>
      </c>
    </row>
    <row r="94">
      <c r="A94" t="inlineStr">
        <is>
          <t>Zimaya</t>
        </is>
      </c>
      <c r="B94">
        <f>COUNTIF(Modelo!$A$10:$A$1922,$A94)</f>
        <v>3</v>
      </c>
      <c r="C94" s="59">
        <f>MINIFS(Modelo!$E$10:$E$1922,Modelo!$A$10:$A$1922,$A94)</f>
        <v>15.95</v>
      </c>
      <c r="D94" s="59">
        <f>MAXIFS(Modelo!$E$10:$E$1922,Modelo!$A$10:$A$1922,$A94)</f>
        <v>20</v>
      </c>
      <c r="E94" s="59">
        <f>AVERAGEIF(Modelo!$A$10:$A$1922,$A94,Modelo!$E$10:$E$1922)</f>
        <v>17.31333333</v>
      </c>
      <c r="F94" s="56">
        <f>AVERAGEIF(Modelo!$A$10:$A$1922,$A94,Modelo!$I$10:$I$1922)</f>
        <v>0.6</v>
      </c>
    </row>
    <row r="95">
      <c r="A95" t="inlineStr">
        <is>
          <t>Arabian Oud</t>
        </is>
      </c>
      <c r="B95">
        <f>COUNTIF(Modelo!$A$10:$A$1922,$A95)</f>
        <v>2</v>
      </c>
      <c r="C95" s="59">
        <f>MINIFS(Modelo!$E$10:$E$1922,Modelo!$A$10:$A$1922,$A95)</f>
        <v>180</v>
      </c>
      <c r="D95" s="59">
        <f>MAXIFS(Modelo!$E$10:$E$1922,Modelo!$A$10:$A$1922,$A95)</f>
        <v>210</v>
      </c>
      <c r="E95" s="59">
        <f>AVERAGEIF(Modelo!$A$10:$A$1922,$A95,Modelo!$E$10:$E$1922)</f>
        <v>195</v>
      </c>
      <c r="F95" s="56">
        <f>AVERAGEIF(Modelo!$A$10:$A$1922,$A95,Modelo!$I$10:$I$1922)</f>
        <v>0.6</v>
      </c>
    </row>
    <row r="96">
      <c r="A96" t="inlineStr">
        <is>
          <t>Ard Al Zaafaran</t>
        </is>
      </c>
      <c r="B96">
        <f>COUNTIF(Modelo!$A$10:$A$1922,$A96)</f>
        <v>2</v>
      </c>
      <c r="C96" s="59">
        <f>MINIFS(Modelo!$E$10:$E$1922,Modelo!$A$10:$A$1922,$A96)</f>
        <v>13.5</v>
      </c>
      <c r="D96" s="59">
        <f>MAXIFS(Modelo!$E$10:$E$1922,Modelo!$A$10:$A$1922,$A96)</f>
        <v>15</v>
      </c>
      <c r="E96" s="59">
        <f>AVERAGEIF(Modelo!$A$10:$A$1922,$A96,Modelo!$E$10:$E$1922)</f>
        <v>14.25</v>
      </c>
      <c r="F96" s="56">
        <f>AVERAGEIF(Modelo!$A$10:$A$1922,$A96,Modelo!$I$10:$I$1922)</f>
        <v>0.6</v>
      </c>
    </row>
    <row r="97">
      <c r="A97" t="inlineStr">
        <is>
          <t>Billie Eilish</t>
        </is>
      </c>
      <c r="B97">
        <f>COUNTIF(Modelo!$A$10:$A$1922,$A97)</f>
        <v>2</v>
      </c>
      <c r="C97" s="59">
        <f>MINIFS(Modelo!$E$10:$E$1922,Modelo!$A$10:$A$1922,$A97)</f>
        <v>56</v>
      </c>
      <c r="D97" s="59">
        <f>MAXIFS(Modelo!$E$10:$E$1922,Modelo!$A$10:$A$1922,$A97)</f>
        <v>69</v>
      </c>
      <c r="E97" s="59">
        <f>AVERAGEIF(Modelo!$A$10:$A$1922,$A97,Modelo!$E$10:$E$1922)</f>
        <v>62.5</v>
      </c>
      <c r="F97" s="56">
        <f>AVERAGEIF(Modelo!$A$10:$A$1922,$A97,Modelo!$I$10:$I$1922)</f>
        <v>0.6</v>
      </c>
    </row>
    <row r="98">
      <c r="A98" t="inlineStr">
        <is>
          <t>Bois 1920</t>
        </is>
      </c>
      <c r="B98">
        <f>COUNTIF(Modelo!$A$10:$A$1922,$A98)</f>
        <v>2</v>
      </c>
      <c r="C98" s="59">
        <f>MINIFS(Modelo!$E$10:$E$1922,Modelo!$A$10:$A$1922,$A98)</f>
        <v>85</v>
      </c>
      <c r="D98" s="59">
        <f>MAXIFS(Modelo!$E$10:$E$1922,Modelo!$A$10:$A$1922,$A98)</f>
        <v>115</v>
      </c>
      <c r="E98" s="59">
        <f>AVERAGEIF(Modelo!$A$10:$A$1922,$A98,Modelo!$E$10:$E$1922)</f>
        <v>100</v>
      </c>
      <c r="F98" s="56">
        <f>AVERAGEIF(Modelo!$A$10:$A$1922,$A98,Modelo!$I$10:$I$1922)</f>
        <v>0.6</v>
      </c>
    </row>
    <row r="99">
      <c r="A99" t="inlineStr">
        <is>
          <t>Clinique</t>
        </is>
      </c>
      <c r="B99">
        <f>COUNTIF(Modelo!$A$10:$A$1922,$A99)</f>
        <v>2</v>
      </c>
      <c r="C99" s="59">
        <f>MINIFS(Modelo!$E$10:$E$1922,Modelo!$A$10:$A$1922,$A99)</f>
        <v>34</v>
      </c>
      <c r="D99" s="59">
        <f>MAXIFS(Modelo!$E$10:$E$1922,Modelo!$A$10:$A$1922,$A99)</f>
        <v>40</v>
      </c>
      <c r="E99" s="59">
        <f>AVERAGEIF(Modelo!$A$10:$A$1922,$A99,Modelo!$E$10:$E$1922)</f>
        <v>37</v>
      </c>
      <c r="F99" s="56">
        <f>AVERAGEIF(Modelo!$A$10:$A$1922,$A99,Modelo!$I$10:$I$1922)</f>
        <v>0.6</v>
      </c>
    </row>
    <row r="100">
      <c r="A100" t="inlineStr">
        <is>
          <t>Diesel</t>
        </is>
      </c>
      <c r="B100">
        <f>COUNTIF(Modelo!$A$10:$A$1922,$A100)</f>
        <v>2</v>
      </c>
      <c r="C100" s="59">
        <f>MINIFS(Modelo!$E$10:$E$1922,Modelo!$A$10:$A$1922,$A100)</f>
        <v>39</v>
      </c>
      <c r="D100" s="59">
        <f>MAXIFS(Modelo!$E$10:$E$1922,Modelo!$A$10:$A$1922,$A100)</f>
        <v>42</v>
      </c>
      <c r="E100" s="59">
        <f>AVERAGEIF(Modelo!$A$10:$A$1922,$A100,Modelo!$E$10:$E$1922)</f>
        <v>40.5</v>
      </c>
      <c r="F100" s="56">
        <f>AVERAGEIF(Modelo!$A$10:$A$1922,$A100,Modelo!$I$10:$I$1922)</f>
        <v>0.6</v>
      </c>
    </row>
    <row r="101">
      <c r="A101" t="inlineStr">
        <is>
          <t>Diptyque</t>
        </is>
      </c>
      <c r="B101">
        <f>COUNTIF(Modelo!$A$10:$A$1922,$A101)</f>
        <v>2</v>
      </c>
      <c r="C101" s="59">
        <f>MINIFS(Modelo!$E$10:$E$1922,Modelo!$A$10:$A$1922,$A101)</f>
        <v>215</v>
      </c>
      <c r="D101" s="59">
        <f>MAXIFS(Modelo!$E$10:$E$1922,Modelo!$A$10:$A$1922,$A101)</f>
        <v>230</v>
      </c>
      <c r="E101" s="59">
        <f>AVERAGEIF(Modelo!$A$10:$A$1922,$A101,Modelo!$E$10:$E$1922)</f>
        <v>222.5</v>
      </c>
      <c r="F101" s="56">
        <f>AVERAGEIF(Modelo!$A$10:$A$1922,$A101,Modelo!$I$10:$I$1922)</f>
        <v>0.6</v>
      </c>
    </row>
    <row r="102">
      <c r="A102" t="inlineStr">
        <is>
          <t>Elizabeth Arden</t>
        </is>
      </c>
      <c r="B102">
        <f>COUNTIF(Modelo!$A$10:$A$1922,$A102)</f>
        <v>2</v>
      </c>
      <c r="C102" s="59">
        <f>MINIFS(Modelo!$E$10:$E$1922,Modelo!$A$10:$A$1922,$A102)</f>
        <v>21</v>
      </c>
      <c r="D102" s="59">
        <f>MAXIFS(Modelo!$E$10:$E$1922,Modelo!$A$10:$A$1922,$A102)</f>
        <v>31</v>
      </c>
      <c r="E102" s="59">
        <f>AVERAGEIF(Modelo!$A$10:$A$1922,$A102,Modelo!$E$10:$E$1922)</f>
        <v>26</v>
      </c>
      <c r="F102" s="56">
        <f>AVERAGEIF(Modelo!$A$10:$A$1922,$A102,Modelo!$I$10:$I$1922)</f>
        <v>0.6</v>
      </c>
    </row>
    <row r="103">
      <c r="A103" t="inlineStr">
        <is>
          <t>Essential Parfums</t>
        </is>
      </c>
      <c r="B103">
        <f>COUNTIF(Modelo!$A$10:$A$1922,$A103)</f>
        <v>2</v>
      </c>
      <c r="C103" s="59">
        <f>MINIFS(Modelo!$E$10:$E$1922,Modelo!$A$10:$A$1922,$A103)</f>
        <v>130</v>
      </c>
      <c r="D103" s="59">
        <f>MAXIFS(Modelo!$E$10:$E$1922,Modelo!$A$10:$A$1922,$A103)</f>
        <v>170</v>
      </c>
      <c r="E103" s="59">
        <f>AVERAGEIF(Modelo!$A$10:$A$1922,$A103,Modelo!$E$10:$E$1922)</f>
        <v>150</v>
      </c>
      <c r="F103" s="56">
        <f>AVERAGEIF(Modelo!$A$10:$A$1922,$A103,Modelo!$I$10:$I$1922)</f>
        <v>0.6</v>
      </c>
    </row>
    <row r="104">
      <c r="A104" t="inlineStr">
        <is>
          <t>Ferrari</t>
        </is>
      </c>
      <c r="B104">
        <f>COUNTIF(Modelo!$A$10:$A$1922,$A104)</f>
        <v>2</v>
      </c>
      <c r="C104" s="59">
        <f>MINIFS(Modelo!$E$10:$E$1922,Modelo!$A$10:$A$1922,$A104)</f>
        <v>11</v>
      </c>
      <c r="D104" s="59">
        <f>MAXIFS(Modelo!$E$10:$E$1922,Modelo!$A$10:$A$1922,$A104)</f>
        <v>14.9</v>
      </c>
      <c r="E104" s="59">
        <f>AVERAGEIF(Modelo!$A$10:$A$1922,$A104,Modelo!$E$10:$E$1922)</f>
        <v>12.95</v>
      </c>
      <c r="F104" s="56">
        <f>AVERAGEIF(Modelo!$A$10:$A$1922,$A104,Modelo!$I$10:$I$1922)</f>
        <v>0.6</v>
      </c>
    </row>
    <row r="105">
      <c r="A105" t="inlineStr">
        <is>
          <t>Fragrance World</t>
        </is>
      </c>
      <c r="B105">
        <f>COUNTIF(Modelo!$A$10:$A$1922,$A105)</f>
        <v>2</v>
      </c>
      <c r="C105" s="59">
        <f>MINIFS(Modelo!$E$10:$E$1922,Modelo!$A$10:$A$1922,$A105)</f>
        <v>13.25</v>
      </c>
      <c r="D105" s="59">
        <f>MAXIFS(Modelo!$E$10:$E$1922,Modelo!$A$10:$A$1922,$A105)</f>
        <v>16</v>
      </c>
      <c r="E105" s="59">
        <f>AVERAGEIF(Modelo!$A$10:$A$1922,$A105,Modelo!$E$10:$E$1922)</f>
        <v>14.625</v>
      </c>
      <c r="F105" s="56">
        <f>AVERAGEIF(Modelo!$A$10:$A$1922,$A105,Modelo!$I$10:$I$1922)</f>
        <v>0.6</v>
      </c>
    </row>
    <row r="106">
      <c r="A106" t="inlineStr">
        <is>
          <t>Gres</t>
        </is>
      </c>
      <c r="B106">
        <f>COUNTIF(Modelo!$A$10:$A$1922,$A106)</f>
        <v>2</v>
      </c>
      <c r="C106" s="59">
        <f>MINIFS(Modelo!$E$10:$E$1922,Modelo!$A$10:$A$1922,$A106)</f>
        <v>10.5</v>
      </c>
      <c r="D106" s="59">
        <f>MAXIFS(Modelo!$E$10:$E$1922,Modelo!$A$10:$A$1922,$A106)</f>
        <v>13</v>
      </c>
      <c r="E106" s="59">
        <f>AVERAGEIF(Modelo!$A$10:$A$1922,$A106,Modelo!$E$10:$E$1922)</f>
        <v>11.75</v>
      </c>
      <c r="F106" s="56">
        <f>AVERAGEIF(Modelo!$A$10:$A$1922,$A106,Modelo!$I$10:$I$1922)</f>
        <v>0.6</v>
      </c>
    </row>
    <row r="107">
      <c r="A107" t="inlineStr">
        <is>
          <t>Guerlain</t>
        </is>
      </c>
      <c r="B107">
        <f>COUNTIF(Modelo!$A$10:$A$1922,$A107)</f>
        <v>2</v>
      </c>
      <c r="C107" s="59">
        <f>MINIFS(Modelo!$E$10:$E$1922,Modelo!$A$10:$A$1922,$A107)</f>
        <v>90</v>
      </c>
      <c r="D107" s="59">
        <f>MAXIFS(Modelo!$E$10:$E$1922,Modelo!$A$10:$A$1922,$A107)</f>
        <v>92</v>
      </c>
      <c r="E107" s="59">
        <f>AVERAGEIF(Modelo!$A$10:$A$1922,$A107,Modelo!$E$10:$E$1922)</f>
        <v>91</v>
      </c>
      <c r="F107" s="56">
        <f>AVERAGEIF(Modelo!$A$10:$A$1922,$A107,Modelo!$I$10:$I$1922)</f>
        <v>0.6</v>
      </c>
    </row>
    <row r="108">
      <c r="A108" t="inlineStr">
        <is>
          <t>Hermès</t>
        </is>
      </c>
      <c r="B108">
        <f>COUNTIF(Modelo!$A$10:$A$1922,$A108)</f>
        <v>2</v>
      </c>
      <c r="C108" s="59">
        <f>MINIFS(Modelo!$E$10:$E$1922,Modelo!$A$10:$A$1922,$A108)</f>
        <v>61</v>
      </c>
      <c r="D108" s="59">
        <f>MAXIFS(Modelo!$E$10:$E$1922,Modelo!$A$10:$A$1922,$A108)</f>
        <v>64.5</v>
      </c>
      <c r="E108" s="59">
        <f>AVERAGEIF(Modelo!$A$10:$A$1922,$A108,Modelo!$E$10:$E$1922)</f>
        <v>62.75</v>
      </c>
      <c r="F108" s="56">
        <f>AVERAGEIF(Modelo!$A$10:$A$1922,$A108,Modelo!$I$10:$I$1922)</f>
        <v>0.6</v>
      </c>
    </row>
    <row r="109">
      <c r="A109" t="inlineStr">
        <is>
          <t>Juicy Couture</t>
        </is>
      </c>
      <c r="B109">
        <f>COUNTIF(Modelo!$A$10:$A$1922,$A109)</f>
        <v>2</v>
      </c>
      <c r="C109" s="59">
        <f>MINIFS(Modelo!$E$10:$E$1922,Modelo!$A$10:$A$1922,$A109)</f>
        <v>48</v>
      </c>
      <c r="D109" s="59">
        <f>MAXIFS(Modelo!$E$10:$E$1922,Modelo!$A$10:$A$1922,$A109)</f>
        <v>48</v>
      </c>
      <c r="E109" s="59">
        <f>AVERAGEIF(Modelo!$A$10:$A$1922,$A109,Modelo!$E$10:$E$1922)</f>
        <v>48</v>
      </c>
      <c r="F109" s="56">
        <f>AVERAGEIF(Modelo!$A$10:$A$1922,$A109,Modelo!$I$10:$I$1922)</f>
        <v>0.6</v>
      </c>
    </row>
    <row r="110">
      <c r="A110" t="inlineStr">
        <is>
          <t>Lacoste</t>
        </is>
      </c>
      <c r="B110">
        <f>COUNTIF(Modelo!$A$10:$A$1922,$A110)</f>
        <v>2</v>
      </c>
      <c r="C110" s="59">
        <f>MINIFS(Modelo!$E$10:$E$1922,Modelo!$A$10:$A$1922,$A110)</f>
        <v>27</v>
      </c>
      <c r="D110" s="59">
        <f>MAXIFS(Modelo!$E$10:$E$1922,Modelo!$A$10:$A$1922,$A110)</f>
        <v>39</v>
      </c>
      <c r="E110" s="59">
        <f>AVERAGEIF(Modelo!$A$10:$A$1922,$A110,Modelo!$E$10:$E$1922)</f>
        <v>33</v>
      </c>
      <c r="F110" s="56">
        <f>AVERAGEIF(Modelo!$A$10:$A$1922,$A110,Modelo!$I$10:$I$1922)</f>
        <v>0.6</v>
      </c>
    </row>
    <row r="111">
      <c r="A111" t="inlineStr">
        <is>
          <t>Legacy King</t>
        </is>
      </c>
      <c r="B111">
        <f>COUNTIF(Modelo!$A$10:$A$1922,$A111)</f>
        <v>2</v>
      </c>
      <c r="C111" s="59">
        <f>MINIFS(Modelo!$E$10:$E$1922,Modelo!$A$10:$A$1922,$A111)</f>
        <v>4.5</v>
      </c>
      <c r="D111" s="59">
        <f>MAXIFS(Modelo!$E$10:$E$1922,Modelo!$A$10:$A$1922,$A111)</f>
        <v>4.5</v>
      </c>
      <c r="E111" s="59">
        <f>AVERAGEIF(Modelo!$A$10:$A$1922,$A111,Modelo!$E$10:$E$1922)</f>
        <v>4.5</v>
      </c>
      <c r="F111" s="56">
        <f>AVERAGEIF(Modelo!$A$10:$A$1922,$A111,Modelo!$I$10:$I$1922)</f>
        <v>0.6</v>
      </c>
    </row>
    <row r="112">
      <c r="A112" t="inlineStr">
        <is>
          <t>Maison Francis Kurkdjian</t>
        </is>
      </c>
      <c r="B112">
        <f>COUNTIF(Modelo!$A$10:$A$1922,$A112)</f>
        <v>2</v>
      </c>
      <c r="C112" s="59">
        <f>MINIFS(Modelo!$E$10:$E$1922,Modelo!$A$10:$A$1922,$A112)</f>
        <v>230</v>
      </c>
      <c r="D112" s="59">
        <f>MAXIFS(Modelo!$E$10:$E$1922,Modelo!$A$10:$A$1922,$A112)</f>
        <v>370</v>
      </c>
      <c r="E112" s="59">
        <f>AVERAGEIF(Modelo!$A$10:$A$1922,$A112,Modelo!$E$10:$E$1922)</f>
        <v>300</v>
      </c>
      <c r="F112" s="56">
        <f>AVERAGEIF(Modelo!$A$10:$A$1922,$A112,Modelo!$I$10:$I$1922)</f>
        <v>0.6</v>
      </c>
    </row>
    <row r="113">
      <c r="A113" t="inlineStr">
        <is>
          <t>Maison Margiela</t>
        </is>
      </c>
      <c r="B113">
        <f>COUNTIF(Modelo!$A$10:$A$1922,$A113)</f>
        <v>2</v>
      </c>
      <c r="C113" s="59">
        <f>MINIFS(Modelo!$E$10:$E$1922,Modelo!$A$10:$A$1922,$A113)</f>
        <v>91</v>
      </c>
      <c r="D113" s="59">
        <f>MAXIFS(Modelo!$E$10:$E$1922,Modelo!$A$10:$A$1922,$A113)</f>
        <v>120</v>
      </c>
      <c r="E113" s="59">
        <f>AVERAGEIF(Modelo!$A$10:$A$1922,$A113,Modelo!$E$10:$E$1922)</f>
        <v>105.5</v>
      </c>
      <c r="F113" s="56">
        <f>AVERAGEIF(Modelo!$A$10:$A$1922,$A113,Modelo!$I$10:$I$1922)</f>
        <v>0.6</v>
      </c>
    </row>
    <row r="114">
      <c r="A114" t="inlineStr">
        <is>
          <t>Michael Kors</t>
        </is>
      </c>
      <c r="B114">
        <f>COUNTIF(Modelo!$A$10:$A$1922,$A114)</f>
        <v>2</v>
      </c>
      <c r="C114" s="59">
        <f>MINIFS(Modelo!$E$10:$E$1922,Modelo!$A$10:$A$1922,$A114)</f>
        <v>44</v>
      </c>
      <c r="D114" s="59">
        <f>MAXIFS(Modelo!$E$10:$E$1922,Modelo!$A$10:$A$1922,$A114)</f>
        <v>44</v>
      </c>
      <c r="E114" s="59">
        <f>AVERAGEIF(Modelo!$A$10:$A$1922,$A114,Modelo!$E$10:$E$1922)</f>
        <v>44</v>
      </c>
      <c r="F114" s="56">
        <f>AVERAGEIF(Modelo!$A$10:$A$1922,$A114,Modelo!$I$10:$I$1922)</f>
        <v>0.6</v>
      </c>
    </row>
    <row r="115">
      <c r="A115" t="inlineStr">
        <is>
          <t>Paloma Picasso</t>
        </is>
      </c>
      <c r="B115">
        <f>COUNTIF(Modelo!$A$10:$A$1922,$A115)</f>
        <v>2</v>
      </c>
      <c r="C115" s="59">
        <f>MINIFS(Modelo!$E$10:$E$1922,Modelo!$A$10:$A$1922,$A115)</f>
        <v>28</v>
      </c>
      <c r="D115" s="59">
        <f>MAXIFS(Modelo!$E$10:$E$1922,Modelo!$A$10:$A$1922,$A115)</f>
        <v>28.5</v>
      </c>
      <c r="E115" s="59">
        <f>AVERAGEIF(Modelo!$A$10:$A$1922,$A115,Modelo!$E$10:$E$1922)</f>
        <v>28.25</v>
      </c>
      <c r="F115" s="56">
        <f>AVERAGEIF(Modelo!$A$10:$A$1922,$A115,Modelo!$I$10:$I$1922)</f>
        <v>0.6</v>
      </c>
    </row>
    <row r="116">
      <c r="A116" t="inlineStr">
        <is>
          <t>Rue Broca</t>
        </is>
      </c>
      <c r="B116">
        <f>COUNTIF(Modelo!$A$10:$A$1922,$A116)</f>
        <v>2</v>
      </c>
      <c r="C116" s="59">
        <f>MINIFS(Modelo!$E$10:$E$1922,Modelo!$A$10:$A$1922,$A116)</f>
        <v>19.5</v>
      </c>
      <c r="D116" s="59">
        <f>MAXIFS(Modelo!$E$10:$E$1922,Modelo!$A$10:$A$1922,$A116)</f>
        <v>19.5</v>
      </c>
      <c r="E116" s="59">
        <f>AVERAGEIF(Modelo!$A$10:$A$1922,$A116,Modelo!$E$10:$E$1922)</f>
        <v>19.5</v>
      </c>
      <c r="F116" s="56">
        <f>AVERAGEIF(Modelo!$A$10:$A$1922,$A116,Modelo!$I$10:$I$1922)</f>
        <v>0.6</v>
      </c>
    </row>
    <row r="117">
      <c r="A117" t="inlineStr">
        <is>
          <t>Sabrina Carpenter</t>
        </is>
      </c>
      <c r="B117">
        <f>COUNTIF(Modelo!$A$10:$A$1922,$A117)</f>
        <v>2</v>
      </c>
      <c r="C117" s="59">
        <f>MINIFS(Modelo!$E$10:$E$1922,Modelo!$A$10:$A$1922,$A117)</f>
        <v>22.25</v>
      </c>
      <c r="D117" s="59">
        <f>MAXIFS(Modelo!$E$10:$E$1922,Modelo!$A$10:$A$1922,$A117)</f>
        <v>23</v>
      </c>
      <c r="E117" s="59">
        <f>AVERAGEIF(Modelo!$A$10:$A$1922,$A117,Modelo!$E$10:$E$1922)</f>
        <v>22.625</v>
      </c>
      <c r="F117" s="56">
        <f>AVERAGEIF(Modelo!$A$10:$A$1922,$A117,Modelo!$I$10:$I$1922)</f>
        <v>0.6</v>
      </c>
    </row>
    <row r="118">
      <c r="A118" t="inlineStr">
        <is>
          <t>Ted Lapidus Paris</t>
        </is>
      </c>
      <c r="B118">
        <f>COUNTIF(Modelo!$A$10:$A$1922,$A118)</f>
        <v>2</v>
      </c>
      <c r="C118" s="59">
        <f>MINIFS(Modelo!$E$10:$E$1922,Modelo!$A$10:$A$1922,$A118)</f>
        <v>13</v>
      </c>
      <c r="D118" s="59">
        <f>MAXIFS(Modelo!$E$10:$E$1922,Modelo!$A$10:$A$1922,$A118)</f>
        <v>15.75</v>
      </c>
      <c r="E118" s="59">
        <f>AVERAGEIF(Modelo!$A$10:$A$1922,$A118,Modelo!$E$10:$E$1922)</f>
        <v>14.375</v>
      </c>
      <c r="F118" s="56">
        <f>AVERAGEIF(Modelo!$A$10:$A$1922,$A118,Modelo!$I$10:$I$1922)</f>
        <v>0.6</v>
      </c>
    </row>
    <row r="119">
      <c r="A119" t="inlineStr">
        <is>
          <t>Tom Ford</t>
        </is>
      </c>
      <c r="B119">
        <f>COUNTIF(Modelo!$A$10:$A$1922,$A119)</f>
        <v>2</v>
      </c>
      <c r="C119" s="59">
        <f>MINIFS(Modelo!$E$10:$E$1922,Modelo!$A$10:$A$1922,$A119)</f>
        <v>136</v>
      </c>
      <c r="D119" s="59">
        <f>MAXIFS(Modelo!$E$10:$E$1922,Modelo!$A$10:$A$1922,$A119)</f>
        <v>240</v>
      </c>
      <c r="E119" s="59">
        <f>AVERAGEIF(Modelo!$A$10:$A$1922,$A119,Modelo!$E$10:$E$1922)</f>
        <v>188</v>
      </c>
      <c r="F119" s="56">
        <f>AVERAGEIF(Modelo!$A$10:$A$1922,$A119,Modelo!$I$10:$I$1922)</f>
        <v>0.6</v>
      </c>
    </row>
    <row r="120">
      <c r="A120" t="inlineStr">
        <is>
          <t>Tommy Hilfiger</t>
        </is>
      </c>
      <c r="B120">
        <f>COUNTIF(Modelo!$A$10:$A$1922,$A120)</f>
        <v>2</v>
      </c>
      <c r="C120" s="59">
        <f>MINIFS(Modelo!$E$10:$E$1922,Modelo!$A$10:$A$1922,$A120)</f>
        <v>23</v>
      </c>
      <c r="D120" s="59">
        <f>MAXIFS(Modelo!$E$10:$E$1922,Modelo!$A$10:$A$1922,$A120)</f>
        <v>24</v>
      </c>
      <c r="E120" s="59">
        <f>AVERAGEIF(Modelo!$A$10:$A$1922,$A120,Modelo!$E$10:$E$1922)</f>
        <v>23.5</v>
      </c>
      <c r="F120" s="56">
        <f>AVERAGEIF(Modelo!$A$10:$A$1922,$A120,Modelo!$I$10:$I$1922)</f>
        <v>0.6</v>
      </c>
    </row>
    <row r="121">
      <c r="A121" t="inlineStr">
        <is>
          <t>Animale</t>
        </is>
      </c>
      <c r="B121">
        <f>COUNTIF(Modelo!$A$10:$A$1922,$A121)</f>
        <v>1</v>
      </c>
      <c r="C121" s="59">
        <f>MINIFS(Modelo!$E$10:$E$1922,Modelo!$A$10:$A$1922,$A121)</f>
        <v>20.8</v>
      </c>
      <c r="D121" s="59">
        <f>MAXIFS(Modelo!$E$10:$E$1922,Modelo!$A$10:$A$1922,$A121)</f>
        <v>20.8</v>
      </c>
      <c r="E121" s="59">
        <f>AVERAGEIF(Modelo!$A$10:$A$1922,$A121,Modelo!$E$10:$E$1922)</f>
        <v>20.8</v>
      </c>
      <c r="F121" s="56">
        <f>AVERAGEIF(Modelo!$A$10:$A$1922,$A121,Modelo!$I$10:$I$1922)</f>
        <v>0.6</v>
      </c>
    </row>
    <row r="122">
      <c r="A122" t="inlineStr">
        <is>
          <t>Attracione</t>
        </is>
      </c>
      <c r="B122">
        <f>COUNTIF(Modelo!$A$10:$A$1922,$A122)</f>
        <v>1</v>
      </c>
      <c r="C122" s="59">
        <f>MINIFS(Modelo!$E$10:$E$1922,Modelo!$A$10:$A$1922,$A122)</f>
        <v>12.5</v>
      </c>
      <c r="D122" s="59">
        <f>MAXIFS(Modelo!$E$10:$E$1922,Modelo!$A$10:$A$1922,$A122)</f>
        <v>12.5</v>
      </c>
      <c r="E122" s="59">
        <f>AVERAGEIF(Modelo!$A$10:$A$1922,$A122,Modelo!$E$10:$E$1922)</f>
        <v>12.5</v>
      </c>
      <c r="F122" s="56">
        <f>AVERAGEIF(Modelo!$A$10:$A$1922,$A122,Modelo!$I$10:$I$1922)</f>
        <v>0.6</v>
      </c>
    </row>
    <row r="123">
      <c r="A123" t="inlineStr">
        <is>
          <t>Brut</t>
        </is>
      </c>
      <c r="B123">
        <f>COUNTIF(Modelo!$A$10:$A$1922,$A123)</f>
        <v>1</v>
      </c>
      <c r="C123" s="59">
        <f>MINIFS(Modelo!$E$10:$E$1922,Modelo!$A$10:$A$1922,$A123)</f>
        <v>6</v>
      </c>
      <c r="D123" s="59">
        <f>MAXIFS(Modelo!$E$10:$E$1922,Modelo!$A$10:$A$1922,$A123)</f>
        <v>6</v>
      </c>
      <c r="E123" s="59">
        <f>AVERAGEIF(Modelo!$A$10:$A$1922,$A123,Modelo!$E$10:$E$1922)</f>
        <v>6</v>
      </c>
      <c r="F123" s="56">
        <f>AVERAGEIF(Modelo!$A$10:$A$1922,$A123,Modelo!$I$10:$I$1922)</f>
        <v>0.6</v>
      </c>
    </row>
    <row r="124">
      <c r="A124" t="inlineStr">
        <is>
          <t>Chabaud Maison de Parfum</t>
        </is>
      </c>
      <c r="B124">
        <f>COUNTIF(Modelo!$A$10:$A$1922,$A124)</f>
        <v>1</v>
      </c>
      <c r="C124" s="59">
        <f>MINIFS(Modelo!$E$10:$E$1922,Modelo!$A$10:$A$1922,$A124)</f>
        <v>170</v>
      </c>
      <c r="D124" s="59">
        <f>MAXIFS(Modelo!$E$10:$E$1922,Modelo!$A$10:$A$1922,$A124)</f>
        <v>170</v>
      </c>
      <c r="E124" s="59">
        <f>AVERAGEIF(Modelo!$A$10:$A$1922,$A124,Modelo!$E$10:$E$1922)</f>
        <v>170</v>
      </c>
      <c r="F124" s="56">
        <f>AVERAGEIF(Modelo!$A$10:$A$1922,$A124,Modelo!$I$10:$I$1922)</f>
        <v>0.6</v>
      </c>
    </row>
    <row r="125">
      <c r="A125" t="inlineStr">
        <is>
          <t>Clive Christian</t>
        </is>
      </c>
      <c r="B125">
        <f>COUNTIF(Modelo!$A$10:$A$1922,$A125)</f>
        <v>1</v>
      </c>
      <c r="C125" s="59">
        <f>MINIFS(Modelo!$E$10:$E$1922,Modelo!$A$10:$A$1922,$A125)</f>
        <v>400</v>
      </c>
      <c r="D125" s="59">
        <f>MAXIFS(Modelo!$E$10:$E$1922,Modelo!$A$10:$A$1922,$A125)</f>
        <v>400</v>
      </c>
      <c r="E125" s="59">
        <f>AVERAGEIF(Modelo!$A$10:$A$1922,$A125,Modelo!$E$10:$E$1922)</f>
        <v>400</v>
      </c>
      <c r="F125" s="56">
        <f>AVERAGEIF(Modelo!$A$10:$A$1922,$A125,Modelo!$I$10:$I$1922)</f>
        <v>0.6</v>
      </c>
    </row>
    <row r="126">
      <c r="A126" t="inlineStr">
        <is>
          <t>Davidoff</t>
        </is>
      </c>
      <c r="B126">
        <f>COUNTIF(Modelo!$A$10:$A$1922,$A126)</f>
        <v>1</v>
      </c>
      <c r="C126" s="59">
        <f>MINIFS(Modelo!$E$10:$E$1922,Modelo!$A$10:$A$1922,$A126)</f>
        <v>22</v>
      </c>
      <c r="D126" s="59">
        <f>MAXIFS(Modelo!$E$10:$E$1922,Modelo!$A$10:$A$1922,$A126)</f>
        <v>22</v>
      </c>
      <c r="E126" s="59">
        <f>AVERAGEIF(Modelo!$A$10:$A$1922,$A126,Modelo!$E$10:$E$1922)</f>
        <v>22</v>
      </c>
      <c r="F126" s="56">
        <f>AVERAGEIF(Modelo!$A$10:$A$1922,$A126,Modelo!$I$10:$I$1922)</f>
        <v>0.6</v>
      </c>
    </row>
    <row r="127">
      <c r="A127" t="inlineStr">
        <is>
          <t>Donna Karan</t>
        </is>
      </c>
      <c r="B127">
        <f>COUNTIF(Modelo!$A$10:$A$1922,$A127)</f>
        <v>1</v>
      </c>
      <c r="C127" s="59">
        <f>MINIFS(Modelo!$E$10:$E$1922,Modelo!$A$10:$A$1922,$A127)</f>
        <v>38</v>
      </c>
      <c r="D127" s="59">
        <f>MAXIFS(Modelo!$E$10:$E$1922,Modelo!$A$10:$A$1922,$A127)</f>
        <v>38</v>
      </c>
      <c r="E127" s="59">
        <f>AVERAGEIF(Modelo!$A$10:$A$1922,$A127,Modelo!$E$10:$E$1922)</f>
        <v>38</v>
      </c>
      <c r="F127" s="56">
        <f>AVERAGEIF(Modelo!$A$10:$A$1922,$A127,Modelo!$I$10:$I$1922)</f>
        <v>0.6</v>
      </c>
    </row>
    <row r="128">
      <c r="A128" t="inlineStr">
        <is>
          <t>Escada</t>
        </is>
      </c>
      <c r="B128">
        <f>COUNTIF(Modelo!$A$10:$A$1922,$A128)</f>
        <v>1</v>
      </c>
      <c r="C128" s="59">
        <f>MINIFS(Modelo!$E$10:$E$1922,Modelo!$A$10:$A$1922,$A128)</f>
        <v>30</v>
      </c>
      <c r="D128" s="59">
        <f>MAXIFS(Modelo!$E$10:$E$1922,Modelo!$A$10:$A$1922,$A128)</f>
        <v>30</v>
      </c>
      <c r="E128" s="59">
        <f>AVERAGEIF(Modelo!$A$10:$A$1922,$A128,Modelo!$E$10:$E$1922)</f>
        <v>30</v>
      </c>
      <c r="F128" s="56">
        <f>AVERAGEIF(Modelo!$A$10:$A$1922,$A128,Modelo!$I$10:$I$1922)</f>
        <v>0.6</v>
      </c>
    </row>
    <row r="129">
      <c r="A129" t="inlineStr">
        <is>
          <t>Ferragamo</t>
        </is>
      </c>
      <c r="B129">
        <f>COUNTIF(Modelo!$A$10:$A$1922,$A129)</f>
        <v>1</v>
      </c>
      <c r="C129" s="59">
        <f>MINIFS(Modelo!$E$10:$E$1922,Modelo!$A$10:$A$1922,$A129)</f>
        <v>45</v>
      </c>
      <c r="D129" s="59">
        <f>MAXIFS(Modelo!$E$10:$E$1922,Modelo!$A$10:$A$1922,$A129)</f>
        <v>45</v>
      </c>
      <c r="E129" s="59">
        <f>AVERAGEIF(Modelo!$A$10:$A$1922,$A129,Modelo!$E$10:$E$1922)</f>
        <v>45</v>
      </c>
      <c r="F129" s="56">
        <f>AVERAGEIF(Modelo!$A$10:$A$1922,$A129,Modelo!$I$10:$I$1922)</f>
        <v>0.6</v>
      </c>
    </row>
    <row r="130">
      <c r="A130" t="inlineStr">
        <is>
          <t>Gabriela Sabatini</t>
        </is>
      </c>
      <c r="B130">
        <f>COUNTIF(Modelo!$A$10:$A$1922,$A130)</f>
        <v>1</v>
      </c>
      <c r="C130" s="59">
        <f>MINIFS(Modelo!$E$10:$E$1922,Modelo!$A$10:$A$1922,$A130)</f>
        <v>10</v>
      </c>
      <c r="D130" s="59">
        <f>MAXIFS(Modelo!$E$10:$E$1922,Modelo!$A$10:$A$1922,$A130)</f>
        <v>10</v>
      </c>
      <c r="E130" s="59">
        <f>AVERAGEIF(Modelo!$A$10:$A$1922,$A130,Modelo!$E$10:$E$1922)</f>
        <v>10</v>
      </c>
      <c r="F130" s="56">
        <f>AVERAGEIF(Modelo!$A$10:$A$1922,$A130,Modelo!$I$10:$I$1922)</f>
        <v>0.6</v>
      </c>
    </row>
    <row r="131">
      <c r="A131" t="inlineStr">
        <is>
          <t>Giorgio Beverly Hills</t>
        </is>
      </c>
      <c r="B131">
        <f>COUNTIF(Modelo!$A$10:$A$1922,$A131)</f>
        <v>1</v>
      </c>
      <c r="C131" s="59">
        <f>MINIFS(Modelo!$E$10:$E$1922,Modelo!$A$10:$A$1922,$A131)</f>
        <v>20</v>
      </c>
      <c r="D131" s="59">
        <f>MAXIFS(Modelo!$E$10:$E$1922,Modelo!$A$10:$A$1922,$A131)</f>
        <v>20</v>
      </c>
      <c r="E131" s="59">
        <f>AVERAGEIF(Modelo!$A$10:$A$1922,$A131,Modelo!$E$10:$E$1922)</f>
        <v>20</v>
      </c>
      <c r="F131" s="56">
        <f>AVERAGEIF(Modelo!$A$10:$A$1922,$A131,Modelo!$I$10:$I$1922)</f>
        <v>0.6</v>
      </c>
    </row>
    <row r="132">
      <c r="A132" t="inlineStr">
        <is>
          <t>Guy Laroche</t>
        </is>
      </c>
      <c r="B132">
        <f>COUNTIF(Modelo!$A$10:$A$1922,$A132)</f>
        <v>1</v>
      </c>
      <c r="C132" s="59">
        <f>MINIFS(Modelo!$E$10:$E$1922,Modelo!$A$10:$A$1922,$A132)</f>
        <v>24</v>
      </c>
      <c r="D132" s="59">
        <f>MAXIFS(Modelo!$E$10:$E$1922,Modelo!$A$10:$A$1922,$A132)</f>
        <v>24</v>
      </c>
      <c r="E132" s="59">
        <f>AVERAGEIF(Modelo!$A$10:$A$1922,$A132,Modelo!$E$10:$E$1922)</f>
        <v>24</v>
      </c>
      <c r="F132" s="56">
        <f>AVERAGEIF(Modelo!$A$10:$A$1922,$A132,Modelo!$I$10:$I$1922)</f>
        <v>0.6</v>
      </c>
    </row>
    <row r="133">
      <c r="A133" t="inlineStr">
        <is>
          <t>Joop</t>
        </is>
      </c>
      <c r="B133">
        <f>COUNTIF(Modelo!$A$10:$A$1922,$A133)</f>
        <v>1</v>
      </c>
      <c r="C133" s="59">
        <f>MINIFS(Modelo!$E$10:$E$1922,Modelo!$A$10:$A$1922,$A133)</f>
        <v>26</v>
      </c>
      <c r="D133" s="59">
        <f>MAXIFS(Modelo!$E$10:$E$1922,Modelo!$A$10:$A$1922,$A133)</f>
        <v>26</v>
      </c>
      <c r="E133" s="59">
        <f>AVERAGEIF(Modelo!$A$10:$A$1922,$A133,Modelo!$E$10:$E$1922)</f>
        <v>26</v>
      </c>
      <c r="F133" s="56">
        <f>AVERAGEIF(Modelo!$A$10:$A$1922,$A133,Modelo!$I$10:$I$1922)</f>
        <v>0.6</v>
      </c>
    </row>
    <row r="134">
      <c r="A134" t="inlineStr">
        <is>
          <t>Juliette Has a Gun</t>
        </is>
      </c>
      <c r="B134">
        <f>COUNTIF(Modelo!$A$10:$A$1922,$A134)</f>
        <v>1</v>
      </c>
      <c r="C134" s="59">
        <f>MINIFS(Modelo!$E$10:$E$1922,Modelo!$A$10:$A$1922,$A134)</f>
        <v>75</v>
      </c>
      <c r="D134" s="59">
        <f>MAXIFS(Modelo!$E$10:$E$1922,Modelo!$A$10:$A$1922,$A134)</f>
        <v>75</v>
      </c>
      <c r="E134" s="59">
        <f>AVERAGEIF(Modelo!$A$10:$A$1922,$A134,Modelo!$E$10:$E$1922)</f>
        <v>75</v>
      </c>
      <c r="F134" s="56">
        <f>AVERAGEIF(Modelo!$A$10:$A$1922,$A134,Modelo!$I$10:$I$1922)</f>
        <v>0.6</v>
      </c>
    </row>
    <row r="135">
      <c r="A135" t="inlineStr">
        <is>
          <t>Marc-Antoine Barrois</t>
        </is>
      </c>
      <c r="B135">
        <f>COUNTIF(Modelo!$A$10:$A$1922,$A135)</f>
        <v>1</v>
      </c>
      <c r="C135" s="59">
        <f>MINIFS(Modelo!$E$10:$E$1922,Modelo!$A$10:$A$1922,$A135)</f>
        <v>290</v>
      </c>
      <c r="D135" s="59">
        <f>MAXIFS(Modelo!$E$10:$E$1922,Modelo!$A$10:$A$1922,$A135)</f>
        <v>290</v>
      </c>
      <c r="E135" s="59">
        <f>AVERAGEIF(Modelo!$A$10:$A$1922,$A135,Modelo!$E$10:$E$1922)</f>
        <v>290</v>
      </c>
      <c r="F135" s="56">
        <f>AVERAGEIF(Modelo!$A$10:$A$1922,$A135,Modelo!$I$10:$I$1922)</f>
        <v>0.6</v>
      </c>
    </row>
    <row r="136">
      <c r="A136" t="inlineStr">
        <is>
          <t>Marina De Bourbon</t>
        </is>
      </c>
      <c r="B136">
        <f>COUNTIF(Modelo!$A$10:$A$1922,$A136)</f>
        <v>1</v>
      </c>
      <c r="C136" s="59">
        <f>MINIFS(Modelo!$E$10:$E$1922,Modelo!$A$10:$A$1922,$A136)</f>
        <v>21.9</v>
      </c>
      <c r="D136" s="59">
        <f>MAXIFS(Modelo!$E$10:$E$1922,Modelo!$A$10:$A$1922,$A136)</f>
        <v>21.9</v>
      </c>
      <c r="E136" s="59">
        <f>AVERAGEIF(Modelo!$A$10:$A$1922,$A136,Modelo!$E$10:$E$1922)</f>
        <v>21.9</v>
      </c>
      <c r="F136" s="56">
        <f>AVERAGEIF(Modelo!$A$10:$A$1922,$A136,Modelo!$I$10:$I$1922)</f>
        <v>0.6</v>
      </c>
    </row>
    <row r="137">
      <c r="A137" t="inlineStr">
        <is>
          <t>Sarah Jessica Parker</t>
        </is>
      </c>
      <c r="B137">
        <f>COUNTIF(Modelo!$A$10:$A$1922,$A137)</f>
        <v>1</v>
      </c>
      <c r="C137" s="59">
        <f>MINIFS(Modelo!$E$10:$E$1922,Modelo!$A$10:$A$1922,$A137)</f>
        <v>33</v>
      </c>
      <c r="D137" s="59">
        <f>MAXIFS(Modelo!$E$10:$E$1922,Modelo!$A$10:$A$1922,$A137)</f>
        <v>33</v>
      </c>
      <c r="E137" s="59">
        <f>AVERAGEIF(Modelo!$A$10:$A$1922,$A137,Modelo!$E$10:$E$1922)</f>
        <v>33</v>
      </c>
      <c r="F137" s="56">
        <f>AVERAGEIF(Modelo!$A$10:$A$1922,$A137,Modelo!$I$10:$I$1922)</f>
        <v>0.6</v>
      </c>
    </row>
    <row r="138">
      <c r="A138" t="inlineStr">
        <is>
          <t>Tiffany &amp; Co</t>
        </is>
      </c>
      <c r="B138">
        <f>COUNTIF(Modelo!$A$10:$A$1922,$A138)</f>
        <v>1</v>
      </c>
      <c r="C138" s="59">
        <f>MINIFS(Modelo!$E$10:$E$1922,Modelo!$A$10:$A$1922,$A138)</f>
        <v>100</v>
      </c>
      <c r="D138" s="59">
        <f>MAXIFS(Modelo!$E$10:$E$1922,Modelo!$A$10:$A$1922,$A138)</f>
        <v>100</v>
      </c>
      <c r="E138" s="59">
        <f>AVERAGEIF(Modelo!$A$10:$A$1922,$A138,Modelo!$E$10:$E$1922)</f>
        <v>100</v>
      </c>
      <c r="F138" s="56">
        <f>AVERAGEIF(Modelo!$A$10:$A$1922,$A138,Modelo!$I$10:$I$1922)</f>
        <v>0.6</v>
      </c>
    </row>
    <row r="139">
      <c r="A139" t="inlineStr">
        <is>
          <t>Tubbees</t>
        </is>
      </c>
      <c r="B139">
        <f>COUNTIF(Modelo!$A$10:$A$1922,$A139)</f>
        <v>1</v>
      </c>
      <c r="C139" s="59">
        <f>MINIFS(Modelo!$E$10:$E$1922,Modelo!$A$10:$A$1922,$A139)</f>
        <v>7.25</v>
      </c>
      <c r="D139" s="59">
        <f>MAXIFS(Modelo!$E$10:$E$1922,Modelo!$A$10:$A$1922,$A139)</f>
        <v>7.25</v>
      </c>
      <c r="E139" s="59">
        <f>AVERAGEIF(Modelo!$A$10:$A$1922,$A139,Modelo!$E$10:$E$1922)</f>
        <v>7.25</v>
      </c>
      <c r="F139" s="56">
        <f>AVERAGEIF(Modelo!$A$10:$A$1922,$A139,Modelo!$I$10:$I$1922)</f>
        <v>0.6</v>
      </c>
    </row>
    <row r="140">
      <c r="A140" s="55" t="inlineStr">
        <is>
          <t>(TODAS LAS MARCAS)</t>
        </is>
      </c>
      <c r="B140" s="55">
        <f>SUM(B2:B139)</f>
        <v>1913</v>
      </c>
      <c r="C140" s="60">
        <f>MIN(Modelo!$E$10:$E$1922)</f>
        <v>2.7</v>
      </c>
      <c r="D140" s="60">
        <f>MAX(Modelo!$E$10:$E$1922)</f>
        <v>525</v>
      </c>
      <c r="E140" s="60">
        <f>AVERAGE(Modelo!$E$10:$E$1922)</f>
        <v>74.24323576</v>
      </c>
      <c r="F140" s="61">
        <f>AVERAGE(Modelo!$I$10:$I$1922)</f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34" min="1" max="1"/>
  </cols>
  <sheetData>
    <row r="1" ht="17.35" customHeight="1" s="35">
      <c r="A1" s="62" t="inlineStr">
        <is>
          <t>NOTAS Y METODOLOGÍA</t>
        </is>
      </c>
    </row>
    <row r="2" ht="15" customHeight="1" s="35">
      <c r="A2" s="63" t="n"/>
    </row>
    <row r="3" ht="15" customHeight="1" s="35">
      <c r="A3" s="64" t="inlineStr">
        <is>
          <t>Cómo usar este modelo:</t>
        </is>
      </c>
    </row>
    <row r="4" ht="15" customHeight="1" s="35">
      <c r="A4" s="63" t="inlineStr">
        <is>
          <t>1. Cargá la cotización real del dólar con el que compran (celda B5). Es el dato que más mueve los márgenes.</t>
        </is>
      </c>
    </row>
    <row r="5" ht="23.85" customHeight="1" s="35">
      <c r="A5" s="63" t="inlineStr">
        <is>
          <t>2. El 'Costo de traída %' (B6) está en 0 por ahora. Cuando definan el costo/riesgo de traer la mercadería, lo ponen ahí y todo se recalcula.</t>
        </is>
      </c>
    </row>
    <row r="6" ht="15" customHeight="1" s="35">
      <c r="A6" s="63" t="inlineStr">
        <is>
          <t>3. El 'Markup objetivo' (B7) define el PVP sugerido (PVP = costo x markup). Ajustalo según la categoría o editá el PVP fila por fila.</t>
        </is>
      </c>
    </row>
    <row r="7" ht="15" customHeight="1" s="35">
      <c r="A7" s="63" t="inlineStr">
        <is>
          <t>4. La columna 'Precio mercado AR' es referencia para chequear que el PVP sugerido sea competitivo (no es un cálculo).</t>
        </is>
      </c>
    </row>
    <row r="8" ht="15" customHeight="1" s="35">
      <c r="A8" s="63" t="n"/>
    </row>
    <row r="9" ht="15" customHeight="1" s="35">
      <c r="A9" s="64" t="inlineStr">
        <is>
          <t>Origen de los datos:</t>
        </is>
      </c>
    </row>
    <row r="10" ht="23.85" customHeight="1" s="35">
      <c r="A10" s="63" t="inlineStr">
        <is>
          <t>- Costos USD: precios de lista del sitio del proveedor Star Company (base.fluxoigm.com / starcompany-py.com), categoría Perfumes, junio 2026.</t>
        </is>
      </c>
    </row>
    <row r="11" ht="23.85" customHeight="1" s="35">
      <c r="A11" s="63" t="inlineStr">
        <is>
          <t>- Precios de mercado AR: búsquedas en Mercado Libre y perfumerías online argentinas, junio 2026. Son rangos orientativos, no precios fijos.</t>
        </is>
      </c>
    </row>
    <row r="12" ht="15" customHeight="1" s="35">
      <c r="A12" s="63" t="n"/>
    </row>
    <row r="13" ht="15" customHeight="1" s="35">
      <c r="A13" s="64" t="inlineStr">
        <is>
          <t>Limitaciones a tener en cuenta:</t>
        </is>
      </c>
    </row>
    <row r="14" ht="23.85" customHeight="1" s="35">
      <c r="A14" s="63" t="inlineStr">
        <is>
          <t>- Las páginas del proveedor por marca no exponen precio público; los costos cargados salen del listado general y de carruseles de productos. Faltan SKUs (ej. Lattafa Yara/Khamrah) cuyo precio no se pudo leer todavía.</t>
        </is>
      </c>
    </row>
    <row r="15" ht="15" customHeight="1" s="35">
      <c r="A15" s="63" t="inlineStr">
        <is>
          <t>- Para ampliar: si el proveedor te pasa una lista (CSV/planilla) o pantallazos por marca, se agregan filas y el modelo escala solo.</t>
        </is>
      </c>
    </row>
    <row r="16" ht="23.85" customHeight="1" s="35">
      <c r="A16" s="63" t="inlineStr">
        <is>
          <t>- Varios ítems son TESTER (originales, sin caja/tapa de lujo): venderlos como tales y a precio diferenciado, no mezclar con producto en caja.</t>
        </is>
      </c>
    </row>
    <row r="17" ht="23.85" customHeight="1" s="35">
      <c r="A17" s="63" t="inlineStr">
        <is>
          <t>- El costo NO incluye traída, impuestos de importación, comisiones de pago, packaging ni envío. Son costos a sumar antes del margen neto real.</t>
        </is>
      </c>
    </row>
    <row r="18" ht="15" customHeight="1" s="35">
      <c r="A18" s="63" t="inlineStr">
        <is>
          <t>- Si obtienen rebajas por mayorista, actualizar la columna 'Costo USD' (azul) y los márgenes se recalculan.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2026-06-23T12:05:18Z</dcterms:created>
  <dcterms:modified xmlns:dcterms="http://purl.org/dc/terms/" xmlns:xsi="http://www.w3.org/2001/XMLSchema-instance" xsi:type="dcterms:W3CDTF">2026-06-23T16:35:48Z</dcterms:modified>
  <cp:revision>0</cp:revision>
</cp:coreProperties>
</file>