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" sheetId="1" state="visible" r:id="rId3"/>
    <sheet name="No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<sst xmlns="http://schemas.openxmlformats.org/spreadsheetml/2006/main" count="154" uniqueCount="105">
  <si>
    <t xml:space="preserve">MODELO DE MÁRGENES — TIENDA ONLINE DE PERFUMES</t>
  </si>
  <si>
    <t xml:space="preserve">Proveedor: Star Company (Ciudad del Este, PY) · Precios de lista en USD · Costo de traída NO incluido (configurable abajo)</t>
  </si>
  <si>
    <t xml:space="preserve">SUPUESTOS (editar las celdas azules)</t>
  </si>
  <si>
    <t xml:space="preserve">Cotización USD → ARS</t>
  </si>
  <si>
    <t xml:space="preserve">Editar con el dólar real con el que se compra</t>
  </si>
  <si>
    <t xml:space="preserve">Costo de traída (%)</t>
  </si>
  <si>
    <t xml:space="preserve">En 0 por ahora (no se considera). Cambiar cuando se defina</t>
  </si>
  <si>
    <t xml:space="preserve">Markup objetivo (x)</t>
  </si>
  <si>
    <t xml:space="preserve">Multiplicador sobre el costo para el PVP sugerido</t>
  </si>
  <si>
    <t xml:space="preserve">Marca</t>
  </si>
  <si>
    <t xml:space="preserve">Producto</t>
  </si>
  <si>
    <t xml:space="preserve">ml</t>
  </si>
  <si>
    <t xml:space="preserve">Categoría</t>
  </si>
  <si>
    <t xml:space="preserve">Costo USD
(lista)</t>
  </si>
  <si>
    <t xml:space="preserve">Costo ARS
(c/ traída)</t>
  </si>
  <si>
    <t xml:space="preserve">PVP sugerido
(ARS)</t>
  </si>
  <si>
    <t xml:space="preserve">Margen $
(ARS)</t>
  </si>
  <si>
    <t xml:space="preserve">Margen %</t>
  </si>
  <si>
    <t xml:space="preserve">Precio mercado
AR (ref.)</t>
  </si>
  <si>
    <t xml:space="preserve">Comentario</t>
  </si>
  <si>
    <t xml:space="preserve">Armaf</t>
  </si>
  <si>
    <t xml:space="preserve">Club de Nuit Man EDT</t>
  </si>
  <si>
    <t xml:space="preserve">Árabe</t>
  </si>
  <si>
    <t xml:space="preserve">Bestseller en AR (Intense Man, +50mil vend.) ~$55-75k</t>
  </si>
  <si>
    <t xml:space="preserve">Rasasi</t>
  </si>
  <si>
    <t xml:space="preserve">Hawas London EDP</t>
  </si>
  <si>
    <t xml:space="preserve">AR ~$60-100k segun vendedor</t>
  </si>
  <si>
    <t xml:space="preserve">Afnan</t>
  </si>
  <si>
    <t xml:space="preserve">Kiaana Crush EDP</t>
  </si>
  <si>
    <t xml:space="preserve">Al Wataniah</t>
  </si>
  <si>
    <t xml:space="preserve">Ameeri EDP</t>
  </si>
  <si>
    <t xml:space="preserve">Entrada de gama, muy barato</t>
  </si>
  <si>
    <t xml:space="preserve">Amnia EDP (fem)</t>
  </si>
  <si>
    <t xml:space="preserve">Attar Al Wesal EDP</t>
  </si>
  <si>
    <t xml:space="preserve">Bareeq Al Dhahab EDP</t>
  </si>
  <si>
    <t xml:space="preserve">Sabah Al Ward Delilah EDP (fem)</t>
  </si>
  <si>
    <t xml:space="preserve">Sultan Al Lail EDP</t>
  </si>
  <si>
    <t xml:space="preserve">Watani Purple EDP (fem)</t>
  </si>
  <si>
    <t xml:space="preserve">YSL</t>
  </si>
  <si>
    <t xml:space="preserve">Libre Le Parfum (fem)</t>
  </si>
  <si>
    <t xml:space="preserve">Diseñador</t>
  </si>
  <si>
    <t xml:space="preserve">Alta gama, ticket alto</t>
  </si>
  <si>
    <t xml:space="preserve">Hermès</t>
  </si>
  <si>
    <t xml:space="preserve">Terre d'Hermès EDT</t>
  </si>
  <si>
    <t xml:space="preserve">AR ~$190-266k</t>
  </si>
  <si>
    <t xml:space="preserve">V&amp;R</t>
  </si>
  <si>
    <t xml:space="preserve">Flowerbomb EDP (fem)</t>
  </si>
  <si>
    <t xml:space="preserve">Clásico fem muy buscado</t>
  </si>
  <si>
    <t xml:space="preserve">Spicebomb EDT</t>
  </si>
  <si>
    <t xml:space="preserve">Guerlain</t>
  </si>
  <si>
    <t xml:space="preserve">Insolence EDP (fem)</t>
  </si>
  <si>
    <t xml:space="preserve">Marc Jacobs</t>
  </si>
  <si>
    <t xml:space="preserve">Perfect Absolute EDP (fem)</t>
  </si>
  <si>
    <t xml:space="preserve">Tiffany &amp; Co</t>
  </si>
  <si>
    <t xml:space="preserve">Love for Her EDP (fem)</t>
  </si>
  <si>
    <t xml:space="preserve">Antonio Banderas</t>
  </si>
  <si>
    <t xml:space="preserve">Queen of Seduction EDT (fem)</t>
  </si>
  <si>
    <t xml:space="preserve">Bajo costo, alta rotación</t>
  </si>
  <si>
    <t xml:space="preserve">Blue Seduction EDT</t>
  </si>
  <si>
    <t xml:space="preserve">200ml, muy económico</t>
  </si>
  <si>
    <t xml:space="preserve">The Icon Red EDP (fem)</t>
  </si>
  <si>
    <t xml:space="preserve">Ferrari</t>
  </si>
  <si>
    <t xml:space="preserve">Scuderia Black EDT</t>
  </si>
  <si>
    <t xml:space="preserve">Joop</t>
  </si>
  <si>
    <t xml:space="preserve">Homme EDT</t>
  </si>
  <si>
    <t xml:space="preserve">200ml</t>
  </si>
  <si>
    <t xml:space="preserve">French Avenue</t>
  </si>
  <si>
    <t xml:space="preserve">Atlantis EXDP</t>
  </si>
  <si>
    <t xml:space="preserve">Nicho</t>
  </si>
  <si>
    <t xml:space="preserve">Clon nicho</t>
  </si>
  <si>
    <t xml:space="preserve">Irida EXDP</t>
  </si>
  <si>
    <t xml:space="preserve">H24 EDT</t>
  </si>
  <si>
    <t xml:space="preserve">D&amp;G</t>
  </si>
  <si>
    <t xml:space="preserve">Devotion EDP (masc) — TESTER</t>
  </si>
  <si>
    <t xml:space="preserve">Tester</t>
  </si>
  <si>
    <t xml:space="preserve">Tester: sin caja de lujo, vender aparte</t>
  </si>
  <si>
    <t xml:space="preserve">Devotion EDP (fem) — TESTER</t>
  </si>
  <si>
    <t xml:space="preserve">Intenso EDP (masc) — TESTER</t>
  </si>
  <si>
    <t xml:space="preserve">Moschino</t>
  </si>
  <si>
    <t xml:space="preserve">Toy 2 Bubble Gum EDT — TESTER</t>
  </si>
  <si>
    <t xml:space="preserve">Xerjoff</t>
  </si>
  <si>
    <t xml:space="preserve">Naxos EDP — TESTER</t>
  </si>
  <si>
    <t xml:space="preserve">Nicho premium, ticket alto</t>
  </si>
  <si>
    <t xml:space="preserve">Alexandria II Parfum — TESTER</t>
  </si>
  <si>
    <t xml:space="preserve">Nicho premium</t>
  </si>
  <si>
    <t xml:space="preserve">Fatal Charme EDP — TESTER</t>
  </si>
  <si>
    <t xml:space="preserve">RESUMEN</t>
  </si>
  <si>
    <t xml:space="preserve">Margen % promedio (todos)</t>
  </si>
  <si>
    <t xml:space="preserve">Costo total si compro 1 de c/u (ARS)</t>
  </si>
  <si>
    <t xml:space="preserve">Margen total potencial (1 de c/u, ARS)</t>
  </si>
  <si>
    <t xml:space="preserve">NOTAS Y METODOLOGÍA</t>
  </si>
  <si>
    <t xml:space="preserve">Cómo usar este modelo:</t>
  </si>
  <si>
    <t xml:space="preserve">1. Cargá la cotización real del dólar con el que compran (celda B5). Es el dato que más mueve los márgenes.</t>
  </si>
  <si>
    <t xml:space="preserve">2. El 'Costo de traída %' (B6) está en 0 por ahora. Cuando definan el costo/riesgo de traer la mercadería, lo ponen ahí y todo se recalcula.</t>
  </si>
  <si>
    <t xml:space="preserve">3. El 'Markup objetivo' (B7) define el PVP sugerido (PVP = costo x markup). Ajustalo según la categoría o editá el PVP fila por fila.</t>
  </si>
  <si>
    <t xml:space="preserve">4. La columna 'Precio mercado AR' es referencia para chequear que el PVP sugerido sea competitivo (no es un cálculo).</t>
  </si>
  <si>
    <t xml:space="preserve">Origen de los datos:</t>
  </si>
  <si>
    <t xml:space="preserve">- Costos USD: precios de lista del sitio del proveedor Star Company (base.fluxoigm.com / starcompany-py.com), categoría Perfumes, junio 2026.</t>
  </si>
  <si>
    <t xml:space="preserve">- Precios de mercado AR: búsquedas en Mercado Libre y perfumerías online argentinas, junio 2026. Son rangos orientativos, no precios fijos.</t>
  </si>
  <si>
    <t xml:space="preserve">Limitaciones a tener en cuenta:</t>
  </si>
  <si>
    <t xml:space="preserve">- Las páginas del proveedor por marca no exponen precio público; los costos cargados salen del listado general y de carruseles de productos. Faltan SKUs (ej. Lattafa Yara/Khamrah) cuyo precio no se pudo leer todavía.</t>
  </si>
  <si>
    <t xml:space="preserve">- Para ampliar: si el proveedor te pasa una lista (CSV/planilla) o pantallazos por marca, se agregan filas y el modelo escala solo.</t>
  </si>
  <si>
    <t xml:space="preserve">- Varios ítems son TESTER (originales, sin caja/tapa de lujo): venderlos como tales y a precio diferenciado, no mezclar con producto en caja.</t>
  </si>
  <si>
    <t xml:space="preserve">- El costo NO incluye traída, impuestos de importación, comisiones de pago, packaging ni envío. Son costos a sumar antes del margen neto real.</t>
  </si>
  <si>
    <t xml:space="preserve">- Si obtienen rebajas por mayorista, actualizar la columna 'Costo USD' (azul) y los márgenes se recalculan.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</si>
</sst>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0.0\x"/>
    <numFmt numFmtId="168" formatCode="&quot;US$ &quot;#,##0.00"/>
    <numFmt numFmtId="169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EAF0FA"/>
        <bgColor rgb="FFF2F2F2"/>
      </patternFill>
    </fill>
    <fill>
      <patternFill patternType="solid">
        <fgColor rgb="FFDDEBF7"/>
        <bgColor rgb="FFEAF0FA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A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A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1300</v>
      </c>
      <c r="C5" s="6" t="s">
        <v>4</v>
      </c>
      <c r="D5" s="6"/>
      <c r="E5" s="6"/>
      <c r="F5" s="6"/>
      <c r="G5" s="6"/>
      <c r="H5" s="6"/>
      <c r="I5" s="6"/>
      <c r="J5" s="6"/>
      <c r="K5" s="6"/>
    </row>
    <row r="6" customFormat="false" ht="15" hidden="false" customHeight="false" outlineLevel="0" collapsed="false">
      <c r="A6" s="4" t="s">
        <v>5</v>
      </c>
      <c r="B6" s="7" t="n">
        <v>0</v>
      </c>
      <c r="C6" s="6" t="s">
        <v>6</v>
      </c>
      <c r="D6" s="6"/>
      <c r="E6" s="6"/>
      <c r="F6" s="6"/>
      <c r="G6" s="6"/>
      <c r="H6" s="6"/>
      <c r="I6" s="6"/>
      <c r="J6" s="6"/>
      <c r="K6" s="6"/>
    </row>
    <row r="7" customFormat="false" ht="15" hidden="false" customHeight="false" outlineLevel="0" collapsed="false">
      <c r="A7" s="4" t="s">
        <v>7</v>
      </c>
      <c r="B7" s="8" t="n">
        <v>2.5</v>
      </c>
      <c r="C7" s="6" t="s">
        <v>8</v>
      </c>
      <c r="D7" s="6"/>
      <c r="E7" s="6"/>
      <c r="F7" s="6"/>
      <c r="G7" s="6"/>
      <c r="H7" s="6"/>
      <c r="I7" s="6"/>
      <c r="J7" s="6"/>
      <c r="K7" s="6"/>
    </row>
    <row r="9" customFormat="false" ht="30" hidden="false" customHeight="true" outlineLevel="0" collapsed="false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 t="s">
        <v>14</v>
      </c>
      <c r="G9" s="9" t="s">
        <v>15</v>
      </c>
      <c r="H9" s="9" t="s">
        <v>16</v>
      </c>
      <c r="I9" s="9" t="s">
        <v>17</v>
      </c>
      <c r="J9" s="9" t="s">
        <v>18</v>
      </c>
      <c r="K9" s="9" t="s">
        <v>19</v>
      </c>
    </row>
    <row r="10" customFormat="false" ht="22.35" hidden="false" customHeight="false" outlineLevel="0" collapsed="false">
      <c r="A10" s="4" t="s">
        <v>20</v>
      </c>
      <c r="B10" s="10" t="s">
        <v>21</v>
      </c>
      <c r="C10" s="11" t="n">
        <v>105</v>
      </c>
      <c r="D10" s="12" t="s">
        <v>22</v>
      </c>
      <c r="E10" s="13" t="n">
        <v>20.5</v>
      </c>
      <c r="F10" s="14" t="n">
        <f aca="false">E10*$B$5*(1+$B$6)</f>
        <v>26650</v>
      </c>
      <c r="G10" s="14" t="n">
        <f aca="false">F10*$B$7</f>
        <v>66625</v>
      </c>
      <c r="H10" s="14" t="n">
        <f aca="false">G10-F10</f>
        <v>39975</v>
      </c>
      <c r="I10" s="15" t="n">
        <f aca="false">H10/G10</f>
        <v>0.6</v>
      </c>
      <c r="J10" s="16" t="n">
        <v>57000</v>
      </c>
      <c r="K10" s="17" t="s">
        <v>23</v>
      </c>
    </row>
    <row r="11" customFormat="false" ht="15" hidden="false" customHeight="false" outlineLevel="0" collapsed="false">
      <c r="A11" s="18" t="s">
        <v>24</v>
      </c>
      <c r="B11" s="19" t="s">
        <v>25</v>
      </c>
      <c r="C11" s="20" t="n">
        <v>100</v>
      </c>
      <c r="D11" s="12" t="s">
        <v>22</v>
      </c>
      <c r="E11" s="21" t="n">
        <v>34</v>
      </c>
      <c r="F11" s="22" t="n">
        <f aca="false">E11*$B$5*(1+$B$6)</f>
        <v>44200</v>
      </c>
      <c r="G11" s="22" t="n">
        <f aca="false">F11*$B$7</f>
        <v>110500</v>
      </c>
      <c r="H11" s="22" t="n">
        <f aca="false">G11-F11</f>
        <v>66300</v>
      </c>
      <c r="I11" s="23" t="n">
        <f aca="false">H11/G11</f>
        <v>0.6</v>
      </c>
      <c r="J11" s="24" t="n">
        <v>75000</v>
      </c>
      <c r="K11" s="25" t="s">
        <v>26</v>
      </c>
    </row>
    <row r="12" customFormat="false" ht="15" hidden="false" customHeight="false" outlineLevel="0" collapsed="false">
      <c r="A12" s="4" t="s">
        <v>27</v>
      </c>
      <c r="B12" s="10" t="s">
        <v>28</v>
      </c>
      <c r="C12" s="11" t="n">
        <v>100</v>
      </c>
      <c r="D12" s="12" t="s">
        <v>22</v>
      </c>
      <c r="E12" s="13" t="n">
        <v>23.9</v>
      </c>
      <c r="F12" s="14" t="n">
        <f aca="false">E12*$B$5*(1+$B$6)</f>
        <v>31070</v>
      </c>
      <c r="G12" s="14" t="n">
        <f aca="false">F12*$B$7</f>
        <v>77675</v>
      </c>
      <c r="H12" s="14" t="n">
        <f aca="false">G12-F12</f>
        <v>46605</v>
      </c>
      <c r="I12" s="15" t="n">
        <f aca="false">H12/G12</f>
        <v>0.6</v>
      </c>
      <c r="J12" s="14"/>
      <c r="K12" s="17"/>
    </row>
    <row r="13" customFormat="false" ht="15" hidden="false" customHeight="false" outlineLevel="0" collapsed="false">
      <c r="A13" s="18" t="s">
        <v>29</v>
      </c>
      <c r="B13" s="19" t="s">
        <v>30</v>
      </c>
      <c r="C13" s="20" t="n">
        <v>100</v>
      </c>
      <c r="D13" s="12" t="s">
        <v>22</v>
      </c>
      <c r="E13" s="21" t="n">
        <v>10</v>
      </c>
      <c r="F13" s="22" t="n">
        <f aca="false">E13*$B$5*(1+$B$6)</f>
        <v>13000</v>
      </c>
      <c r="G13" s="22" t="n">
        <f aca="false">F13*$B$7</f>
        <v>32500</v>
      </c>
      <c r="H13" s="22" t="n">
        <f aca="false">G13-F13</f>
        <v>19500</v>
      </c>
      <c r="I13" s="23" t="n">
        <f aca="false">H13/G13</f>
        <v>0.6</v>
      </c>
      <c r="J13" s="22"/>
      <c r="K13" s="25" t="s">
        <v>31</v>
      </c>
    </row>
    <row r="14" customFormat="false" ht="15" hidden="false" customHeight="false" outlineLevel="0" collapsed="false">
      <c r="A14" s="4" t="s">
        <v>29</v>
      </c>
      <c r="B14" s="10" t="s">
        <v>32</v>
      </c>
      <c r="C14" s="11" t="n">
        <v>100</v>
      </c>
      <c r="D14" s="12" t="s">
        <v>22</v>
      </c>
      <c r="E14" s="13" t="n">
        <v>14</v>
      </c>
      <c r="F14" s="14" t="n">
        <f aca="false">E14*$B$5*(1+$B$6)</f>
        <v>18200</v>
      </c>
      <c r="G14" s="14" t="n">
        <f aca="false">F14*$B$7</f>
        <v>45500</v>
      </c>
      <c r="H14" s="14" t="n">
        <f aca="false">G14-F14</f>
        <v>27300</v>
      </c>
      <c r="I14" s="15" t="n">
        <f aca="false">H14/G14</f>
        <v>0.6</v>
      </c>
      <c r="J14" s="14"/>
      <c r="K14" s="17"/>
    </row>
    <row r="15" customFormat="false" ht="15" hidden="false" customHeight="false" outlineLevel="0" collapsed="false">
      <c r="A15" s="18" t="s">
        <v>29</v>
      </c>
      <c r="B15" s="19" t="s">
        <v>33</v>
      </c>
      <c r="C15" s="20" t="n">
        <v>100</v>
      </c>
      <c r="D15" s="12" t="s">
        <v>22</v>
      </c>
      <c r="E15" s="21" t="n">
        <v>12</v>
      </c>
      <c r="F15" s="22" t="n">
        <f aca="false">E15*$B$5*(1+$B$6)</f>
        <v>15600</v>
      </c>
      <c r="G15" s="22" t="n">
        <f aca="false">F15*$B$7</f>
        <v>39000</v>
      </c>
      <c r="H15" s="22" t="n">
        <f aca="false">G15-F15</f>
        <v>23400</v>
      </c>
      <c r="I15" s="23" t="n">
        <f aca="false">H15/G15</f>
        <v>0.6</v>
      </c>
      <c r="J15" s="22"/>
      <c r="K15" s="25"/>
    </row>
    <row r="16" customFormat="false" ht="15" hidden="false" customHeight="false" outlineLevel="0" collapsed="false">
      <c r="A16" s="4" t="s">
        <v>29</v>
      </c>
      <c r="B16" s="10" t="s">
        <v>34</v>
      </c>
      <c r="C16" s="11" t="n">
        <v>100</v>
      </c>
      <c r="D16" s="12" t="s">
        <v>22</v>
      </c>
      <c r="E16" s="13" t="n">
        <v>10</v>
      </c>
      <c r="F16" s="14" t="n">
        <f aca="false">E16*$B$5*(1+$B$6)</f>
        <v>13000</v>
      </c>
      <c r="G16" s="14" t="n">
        <f aca="false">F16*$B$7</f>
        <v>32500</v>
      </c>
      <c r="H16" s="14" t="n">
        <f aca="false">G16-F16</f>
        <v>19500</v>
      </c>
      <c r="I16" s="15" t="n">
        <f aca="false">H16/G16</f>
        <v>0.6</v>
      </c>
      <c r="J16" s="14"/>
      <c r="K16" s="17"/>
    </row>
    <row r="17" customFormat="false" ht="15" hidden="false" customHeight="false" outlineLevel="0" collapsed="false">
      <c r="A17" s="18" t="s">
        <v>29</v>
      </c>
      <c r="B17" s="19" t="s">
        <v>35</v>
      </c>
      <c r="C17" s="20" t="n">
        <v>100</v>
      </c>
      <c r="D17" s="12" t="s">
        <v>22</v>
      </c>
      <c r="E17" s="21" t="n">
        <v>23.5</v>
      </c>
      <c r="F17" s="22" t="n">
        <f aca="false">E17*$B$5*(1+$B$6)</f>
        <v>30550</v>
      </c>
      <c r="G17" s="22" t="n">
        <f aca="false">F17*$B$7</f>
        <v>76375</v>
      </c>
      <c r="H17" s="22" t="n">
        <f aca="false">G17-F17</f>
        <v>45825</v>
      </c>
      <c r="I17" s="23" t="n">
        <f aca="false">H17/G17</f>
        <v>0.6</v>
      </c>
      <c r="J17" s="22"/>
      <c r="K17" s="25"/>
    </row>
    <row r="18" customFormat="false" ht="15" hidden="false" customHeight="false" outlineLevel="0" collapsed="false">
      <c r="A18" s="4" t="s">
        <v>29</v>
      </c>
      <c r="B18" s="10" t="s">
        <v>36</v>
      </c>
      <c r="C18" s="11" t="n">
        <v>100</v>
      </c>
      <c r="D18" s="12" t="s">
        <v>22</v>
      </c>
      <c r="E18" s="13" t="n">
        <v>11</v>
      </c>
      <c r="F18" s="14" t="n">
        <f aca="false">E18*$B$5*(1+$B$6)</f>
        <v>14300</v>
      </c>
      <c r="G18" s="14" t="n">
        <f aca="false">F18*$B$7</f>
        <v>35750</v>
      </c>
      <c r="H18" s="14" t="n">
        <f aca="false">G18-F18</f>
        <v>21450</v>
      </c>
      <c r="I18" s="15" t="n">
        <f aca="false">H18/G18</f>
        <v>0.6</v>
      </c>
      <c r="J18" s="14"/>
      <c r="K18" s="17"/>
    </row>
    <row r="19" customFormat="false" ht="15" hidden="false" customHeight="false" outlineLevel="0" collapsed="false">
      <c r="A19" s="18" t="s">
        <v>29</v>
      </c>
      <c r="B19" s="19" t="s">
        <v>37</v>
      </c>
      <c r="C19" s="20" t="n">
        <v>100</v>
      </c>
      <c r="D19" s="12" t="s">
        <v>22</v>
      </c>
      <c r="E19" s="21" t="n">
        <v>13</v>
      </c>
      <c r="F19" s="22" t="n">
        <f aca="false">E19*$B$5*(1+$B$6)</f>
        <v>16900</v>
      </c>
      <c r="G19" s="22" t="n">
        <f aca="false">F19*$B$7</f>
        <v>42250</v>
      </c>
      <c r="H19" s="22" t="n">
        <f aca="false">G19-F19</f>
        <v>25350</v>
      </c>
      <c r="I19" s="23" t="n">
        <f aca="false">H19/G19</f>
        <v>0.6</v>
      </c>
      <c r="J19" s="22"/>
      <c r="K19" s="25"/>
    </row>
    <row r="20" customFormat="false" ht="15" hidden="false" customHeight="false" outlineLevel="0" collapsed="false">
      <c r="A20" s="4" t="s">
        <v>38</v>
      </c>
      <c r="B20" s="10" t="s">
        <v>39</v>
      </c>
      <c r="C20" s="11" t="n">
        <v>90</v>
      </c>
      <c r="D20" s="26" t="s">
        <v>40</v>
      </c>
      <c r="E20" s="13" t="n">
        <v>116</v>
      </c>
      <c r="F20" s="14" t="n">
        <f aca="false">E20*$B$5*(1+$B$6)</f>
        <v>150800</v>
      </c>
      <c r="G20" s="14" t="n">
        <f aca="false">F20*$B$7</f>
        <v>377000</v>
      </c>
      <c r="H20" s="14" t="n">
        <f aca="false">G20-F20</f>
        <v>226200</v>
      </c>
      <c r="I20" s="15" t="n">
        <f aca="false">H20/G20</f>
        <v>0.6</v>
      </c>
      <c r="J20" s="14"/>
      <c r="K20" s="17" t="s">
        <v>41</v>
      </c>
    </row>
    <row r="21" customFormat="false" ht="15" hidden="false" customHeight="false" outlineLevel="0" collapsed="false">
      <c r="A21" s="18" t="s">
        <v>42</v>
      </c>
      <c r="B21" s="19" t="s">
        <v>43</v>
      </c>
      <c r="C21" s="20" t="n">
        <v>100</v>
      </c>
      <c r="D21" s="26" t="s">
        <v>40</v>
      </c>
      <c r="E21" s="21" t="n">
        <v>64.5</v>
      </c>
      <c r="F21" s="22" t="n">
        <f aca="false">E21*$B$5*(1+$B$6)</f>
        <v>83850</v>
      </c>
      <c r="G21" s="22" t="n">
        <f aca="false">F21*$B$7</f>
        <v>209625</v>
      </c>
      <c r="H21" s="22" t="n">
        <f aca="false">G21-F21</f>
        <v>125775</v>
      </c>
      <c r="I21" s="23" t="n">
        <f aca="false">H21/G21</f>
        <v>0.6</v>
      </c>
      <c r="J21" s="24" t="n">
        <v>200000</v>
      </c>
      <c r="K21" s="25" t="s">
        <v>44</v>
      </c>
    </row>
    <row r="22" customFormat="false" ht="15" hidden="false" customHeight="false" outlineLevel="0" collapsed="false">
      <c r="A22" s="4" t="s">
        <v>45</v>
      </c>
      <c r="B22" s="10" t="s">
        <v>46</v>
      </c>
      <c r="C22" s="11" t="n">
        <v>100</v>
      </c>
      <c r="D22" s="26" t="s">
        <v>40</v>
      </c>
      <c r="E22" s="13" t="n">
        <v>69</v>
      </c>
      <c r="F22" s="14" t="n">
        <f aca="false">E22*$B$5*(1+$B$6)</f>
        <v>89700</v>
      </c>
      <c r="G22" s="14" t="n">
        <f aca="false">F22*$B$7</f>
        <v>224250</v>
      </c>
      <c r="H22" s="14" t="n">
        <f aca="false">G22-F22</f>
        <v>134550</v>
      </c>
      <c r="I22" s="15" t="n">
        <f aca="false">H22/G22</f>
        <v>0.6</v>
      </c>
      <c r="J22" s="14"/>
      <c r="K22" s="17" t="s">
        <v>47</v>
      </c>
    </row>
    <row r="23" customFormat="false" ht="15" hidden="false" customHeight="false" outlineLevel="0" collapsed="false">
      <c r="A23" s="18" t="s">
        <v>45</v>
      </c>
      <c r="B23" s="19" t="s">
        <v>48</v>
      </c>
      <c r="C23" s="20" t="n">
        <v>90</v>
      </c>
      <c r="D23" s="26" t="s">
        <v>40</v>
      </c>
      <c r="E23" s="21" t="n">
        <v>54</v>
      </c>
      <c r="F23" s="22" t="n">
        <f aca="false">E23*$B$5*(1+$B$6)</f>
        <v>70200</v>
      </c>
      <c r="G23" s="22" t="n">
        <f aca="false">F23*$B$7</f>
        <v>175500</v>
      </c>
      <c r="H23" s="22" t="n">
        <f aca="false">G23-F23</f>
        <v>105300</v>
      </c>
      <c r="I23" s="23" t="n">
        <f aca="false">H23/G23</f>
        <v>0.6</v>
      </c>
      <c r="J23" s="22"/>
      <c r="K23" s="25"/>
    </row>
    <row r="24" customFormat="false" ht="15" hidden="false" customHeight="false" outlineLevel="0" collapsed="false">
      <c r="A24" s="4" t="s">
        <v>49</v>
      </c>
      <c r="B24" s="10" t="s">
        <v>50</v>
      </c>
      <c r="C24" s="11" t="n">
        <v>75</v>
      </c>
      <c r="D24" s="26" t="s">
        <v>40</v>
      </c>
      <c r="E24" s="13" t="n">
        <v>92</v>
      </c>
      <c r="F24" s="14" t="n">
        <f aca="false">E24*$B$5*(1+$B$6)</f>
        <v>119600</v>
      </c>
      <c r="G24" s="14" t="n">
        <f aca="false">F24*$B$7</f>
        <v>299000</v>
      </c>
      <c r="H24" s="14" t="n">
        <f aca="false">G24-F24</f>
        <v>179400</v>
      </c>
      <c r="I24" s="15" t="n">
        <f aca="false">H24/G24</f>
        <v>0.6</v>
      </c>
      <c r="J24" s="14"/>
      <c r="K24" s="17"/>
    </row>
    <row r="25" customFormat="false" ht="15" hidden="false" customHeight="false" outlineLevel="0" collapsed="false">
      <c r="A25" s="18" t="s">
        <v>51</v>
      </c>
      <c r="B25" s="19" t="s">
        <v>52</v>
      </c>
      <c r="C25" s="20" t="n">
        <v>100</v>
      </c>
      <c r="D25" s="26" t="s">
        <v>40</v>
      </c>
      <c r="E25" s="21" t="n">
        <v>100</v>
      </c>
      <c r="F25" s="22" t="n">
        <f aca="false">E25*$B$5*(1+$B$6)</f>
        <v>130000</v>
      </c>
      <c r="G25" s="22" t="n">
        <f aca="false">F25*$B$7</f>
        <v>325000</v>
      </c>
      <c r="H25" s="22" t="n">
        <f aca="false">G25-F25</f>
        <v>195000</v>
      </c>
      <c r="I25" s="23" t="n">
        <f aca="false">H25/G25</f>
        <v>0.6</v>
      </c>
      <c r="J25" s="22"/>
      <c r="K25" s="25"/>
    </row>
    <row r="26" customFormat="false" ht="15" hidden="false" customHeight="false" outlineLevel="0" collapsed="false">
      <c r="A26" s="4" t="s">
        <v>53</v>
      </c>
      <c r="B26" s="10" t="s">
        <v>54</v>
      </c>
      <c r="C26" s="11" t="n">
        <v>90</v>
      </c>
      <c r="D26" s="26" t="s">
        <v>40</v>
      </c>
      <c r="E26" s="13" t="n">
        <v>100</v>
      </c>
      <c r="F26" s="14" t="n">
        <f aca="false">E26*$B$5*(1+$B$6)</f>
        <v>130000</v>
      </c>
      <c r="G26" s="14" t="n">
        <f aca="false">F26*$B$7</f>
        <v>325000</v>
      </c>
      <c r="H26" s="14" t="n">
        <f aca="false">G26-F26</f>
        <v>195000</v>
      </c>
      <c r="I26" s="15" t="n">
        <f aca="false">H26/G26</f>
        <v>0.6</v>
      </c>
      <c r="J26" s="14"/>
      <c r="K26" s="17"/>
    </row>
    <row r="27" customFormat="false" ht="15" hidden="false" customHeight="false" outlineLevel="0" collapsed="false">
      <c r="A27" s="18" t="s">
        <v>55</v>
      </c>
      <c r="B27" s="19" t="s">
        <v>56</v>
      </c>
      <c r="C27" s="20" t="n">
        <v>80</v>
      </c>
      <c r="D27" s="26" t="s">
        <v>40</v>
      </c>
      <c r="E27" s="21" t="n">
        <v>15.9</v>
      </c>
      <c r="F27" s="22" t="n">
        <f aca="false">E27*$B$5*(1+$B$6)</f>
        <v>20670</v>
      </c>
      <c r="G27" s="22" t="n">
        <f aca="false">F27*$B$7</f>
        <v>51675</v>
      </c>
      <c r="H27" s="22" t="n">
        <f aca="false">G27-F27</f>
        <v>31005</v>
      </c>
      <c r="I27" s="23" t="n">
        <f aca="false">H27/G27</f>
        <v>0.6</v>
      </c>
      <c r="J27" s="22"/>
      <c r="K27" s="25" t="s">
        <v>57</v>
      </c>
    </row>
    <row r="28" customFormat="false" ht="15" hidden="false" customHeight="false" outlineLevel="0" collapsed="false">
      <c r="A28" s="4" t="s">
        <v>55</v>
      </c>
      <c r="B28" s="10" t="s">
        <v>58</v>
      </c>
      <c r="C28" s="11" t="n">
        <v>200</v>
      </c>
      <c r="D28" s="26" t="s">
        <v>40</v>
      </c>
      <c r="E28" s="13" t="n">
        <v>18.9</v>
      </c>
      <c r="F28" s="14" t="n">
        <f aca="false">E28*$B$5*(1+$B$6)</f>
        <v>24570</v>
      </c>
      <c r="G28" s="14" t="n">
        <f aca="false">F28*$B$7</f>
        <v>61425</v>
      </c>
      <c r="H28" s="14" t="n">
        <f aca="false">G28-F28</f>
        <v>36855</v>
      </c>
      <c r="I28" s="15" t="n">
        <f aca="false">H28/G28</f>
        <v>0.6</v>
      </c>
      <c r="J28" s="14"/>
      <c r="K28" s="17" t="s">
        <v>59</v>
      </c>
    </row>
    <row r="29" customFormat="false" ht="15" hidden="false" customHeight="false" outlineLevel="0" collapsed="false">
      <c r="A29" s="18" t="s">
        <v>55</v>
      </c>
      <c r="B29" s="19" t="s">
        <v>60</v>
      </c>
      <c r="C29" s="20" t="n">
        <v>100</v>
      </c>
      <c r="D29" s="26" t="s">
        <v>40</v>
      </c>
      <c r="E29" s="21" t="n">
        <v>19</v>
      </c>
      <c r="F29" s="22" t="n">
        <f aca="false">E29*$B$5*(1+$B$6)</f>
        <v>24700</v>
      </c>
      <c r="G29" s="22" t="n">
        <f aca="false">F29*$B$7</f>
        <v>61750</v>
      </c>
      <c r="H29" s="22" t="n">
        <f aca="false">G29-F29</f>
        <v>37050</v>
      </c>
      <c r="I29" s="23" t="n">
        <f aca="false">H29/G29</f>
        <v>0.6</v>
      </c>
      <c r="J29" s="22"/>
      <c r="K29" s="25"/>
    </row>
    <row r="30" customFormat="false" ht="15" hidden="false" customHeight="false" outlineLevel="0" collapsed="false">
      <c r="A30" s="4" t="s">
        <v>61</v>
      </c>
      <c r="B30" s="10" t="s">
        <v>62</v>
      </c>
      <c r="C30" s="11" t="n">
        <v>125</v>
      </c>
      <c r="D30" s="26" t="s">
        <v>40</v>
      </c>
      <c r="E30" s="13" t="n">
        <v>14.9</v>
      </c>
      <c r="F30" s="14" t="n">
        <f aca="false">E30*$B$5*(1+$B$6)</f>
        <v>19370</v>
      </c>
      <c r="G30" s="14" t="n">
        <f aca="false">F30*$B$7</f>
        <v>48425</v>
      </c>
      <c r="H30" s="14" t="n">
        <f aca="false">G30-F30</f>
        <v>29055</v>
      </c>
      <c r="I30" s="15" t="n">
        <f aca="false">H30/G30</f>
        <v>0.6</v>
      </c>
      <c r="J30" s="14"/>
      <c r="K30" s="17" t="s">
        <v>57</v>
      </c>
    </row>
    <row r="31" customFormat="false" ht="15" hidden="false" customHeight="false" outlineLevel="0" collapsed="false">
      <c r="A31" s="18" t="s">
        <v>63</v>
      </c>
      <c r="B31" s="19" t="s">
        <v>64</v>
      </c>
      <c r="C31" s="20" t="n">
        <v>200</v>
      </c>
      <c r="D31" s="26" t="s">
        <v>40</v>
      </c>
      <c r="E31" s="21" t="n">
        <v>26</v>
      </c>
      <c r="F31" s="22" t="n">
        <f aca="false">E31*$B$5*(1+$B$6)</f>
        <v>33800</v>
      </c>
      <c r="G31" s="22" t="n">
        <f aca="false">F31*$B$7</f>
        <v>84500</v>
      </c>
      <c r="H31" s="22" t="n">
        <f aca="false">G31-F31</f>
        <v>50700</v>
      </c>
      <c r="I31" s="23" t="n">
        <f aca="false">H31/G31</f>
        <v>0.6</v>
      </c>
      <c r="J31" s="22"/>
      <c r="K31" s="25" t="s">
        <v>65</v>
      </c>
    </row>
    <row r="32" customFormat="false" ht="15" hidden="false" customHeight="false" outlineLevel="0" collapsed="false">
      <c r="A32" s="4" t="s">
        <v>66</v>
      </c>
      <c r="B32" s="10" t="s">
        <v>67</v>
      </c>
      <c r="C32" s="11" t="n">
        <v>100</v>
      </c>
      <c r="D32" s="27" t="s">
        <v>68</v>
      </c>
      <c r="E32" s="13" t="n">
        <v>41.5</v>
      </c>
      <c r="F32" s="14" t="n">
        <f aca="false">E32*$B$5*(1+$B$6)</f>
        <v>53950</v>
      </c>
      <c r="G32" s="14" t="n">
        <f aca="false">F32*$B$7</f>
        <v>134875</v>
      </c>
      <c r="H32" s="14" t="n">
        <f aca="false">G32-F32</f>
        <v>80925</v>
      </c>
      <c r="I32" s="15" t="n">
        <f aca="false">H32/G32</f>
        <v>0.6</v>
      </c>
      <c r="J32" s="14"/>
      <c r="K32" s="17" t="s">
        <v>69</v>
      </c>
    </row>
    <row r="33" customFormat="false" ht="15" hidden="false" customHeight="false" outlineLevel="0" collapsed="false">
      <c r="A33" s="18" t="s">
        <v>66</v>
      </c>
      <c r="B33" s="19" t="s">
        <v>70</v>
      </c>
      <c r="C33" s="20" t="n">
        <v>100</v>
      </c>
      <c r="D33" s="27" t="s">
        <v>68</v>
      </c>
      <c r="E33" s="21" t="n">
        <v>35</v>
      </c>
      <c r="F33" s="22" t="n">
        <f aca="false">E33*$B$5*(1+$B$6)</f>
        <v>45500</v>
      </c>
      <c r="G33" s="22" t="n">
        <f aca="false">F33*$B$7</f>
        <v>113750</v>
      </c>
      <c r="H33" s="22" t="n">
        <f aca="false">G33-F33</f>
        <v>68250</v>
      </c>
      <c r="I33" s="23" t="n">
        <f aca="false">H33/G33</f>
        <v>0.6</v>
      </c>
      <c r="J33" s="22"/>
      <c r="K33" s="25" t="s">
        <v>69</v>
      </c>
    </row>
    <row r="34" customFormat="false" ht="15" hidden="false" customHeight="false" outlineLevel="0" collapsed="false">
      <c r="A34" s="4" t="s">
        <v>42</v>
      </c>
      <c r="B34" s="10" t="s">
        <v>71</v>
      </c>
      <c r="C34" s="11" t="n">
        <v>100</v>
      </c>
      <c r="D34" s="26" t="s">
        <v>40</v>
      </c>
      <c r="E34" s="13" t="n">
        <v>61</v>
      </c>
      <c r="F34" s="14" t="n">
        <f aca="false">E34*$B$5*(1+$B$6)</f>
        <v>79300</v>
      </c>
      <c r="G34" s="14" t="n">
        <f aca="false">F34*$B$7</f>
        <v>198250</v>
      </c>
      <c r="H34" s="14" t="n">
        <f aca="false">G34-F34</f>
        <v>118950</v>
      </c>
      <c r="I34" s="15" t="n">
        <f aca="false">H34/G34</f>
        <v>0.6</v>
      </c>
      <c r="J34" s="14"/>
      <c r="K34" s="17"/>
    </row>
    <row r="35" customFormat="false" ht="15" hidden="false" customHeight="false" outlineLevel="0" collapsed="false">
      <c r="A35" s="18" t="s">
        <v>72</v>
      </c>
      <c r="B35" s="19" t="s">
        <v>73</v>
      </c>
      <c r="C35" s="20" t="n">
        <v>100</v>
      </c>
      <c r="D35" s="28" t="s">
        <v>74</v>
      </c>
      <c r="E35" s="21" t="n">
        <v>58</v>
      </c>
      <c r="F35" s="22" t="n">
        <f aca="false">E35*$B$5*(1+$B$6)</f>
        <v>75400</v>
      </c>
      <c r="G35" s="22" t="n">
        <f aca="false">F35*$B$7</f>
        <v>188500</v>
      </c>
      <c r="H35" s="22" t="n">
        <f aca="false">G35-F35</f>
        <v>113100</v>
      </c>
      <c r="I35" s="23" t="n">
        <f aca="false">H35/G35</f>
        <v>0.6</v>
      </c>
      <c r="J35" s="22"/>
      <c r="K35" s="25" t="s">
        <v>75</v>
      </c>
    </row>
    <row r="36" customFormat="false" ht="15" hidden="false" customHeight="false" outlineLevel="0" collapsed="false">
      <c r="A36" s="4" t="s">
        <v>72</v>
      </c>
      <c r="B36" s="10" t="s">
        <v>76</v>
      </c>
      <c r="C36" s="11" t="n">
        <v>100</v>
      </c>
      <c r="D36" s="28" t="s">
        <v>74</v>
      </c>
      <c r="E36" s="13" t="n">
        <v>50</v>
      </c>
      <c r="F36" s="14" t="n">
        <f aca="false">E36*$B$5*(1+$B$6)</f>
        <v>65000</v>
      </c>
      <c r="G36" s="14" t="n">
        <f aca="false">F36*$B$7</f>
        <v>162500</v>
      </c>
      <c r="H36" s="14" t="n">
        <f aca="false">G36-F36</f>
        <v>97500</v>
      </c>
      <c r="I36" s="15" t="n">
        <f aca="false">H36/G36</f>
        <v>0.6</v>
      </c>
      <c r="J36" s="14"/>
      <c r="K36" s="17" t="s">
        <v>74</v>
      </c>
    </row>
    <row r="37" customFormat="false" ht="15" hidden="false" customHeight="false" outlineLevel="0" collapsed="false">
      <c r="A37" s="18" t="s">
        <v>72</v>
      </c>
      <c r="B37" s="19" t="s">
        <v>77</v>
      </c>
      <c r="C37" s="20" t="n">
        <v>125</v>
      </c>
      <c r="D37" s="28" t="s">
        <v>74</v>
      </c>
      <c r="E37" s="21" t="n">
        <v>42</v>
      </c>
      <c r="F37" s="22" t="n">
        <f aca="false">E37*$B$5*(1+$B$6)</f>
        <v>54600</v>
      </c>
      <c r="G37" s="22" t="n">
        <f aca="false">F37*$B$7</f>
        <v>136500</v>
      </c>
      <c r="H37" s="22" t="n">
        <f aca="false">G37-F37</f>
        <v>81900</v>
      </c>
      <c r="I37" s="23" t="n">
        <f aca="false">H37/G37</f>
        <v>0.6</v>
      </c>
      <c r="J37" s="22"/>
      <c r="K37" s="25" t="s">
        <v>74</v>
      </c>
    </row>
    <row r="38" customFormat="false" ht="15" hidden="false" customHeight="false" outlineLevel="0" collapsed="false">
      <c r="A38" s="4" t="s">
        <v>78</v>
      </c>
      <c r="B38" s="10" t="s">
        <v>79</v>
      </c>
      <c r="C38" s="11" t="n">
        <v>100</v>
      </c>
      <c r="D38" s="28" t="s">
        <v>74</v>
      </c>
      <c r="E38" s="13" t="n">
        <v>32</v>
      </c>
      <c r="F38" s="14" t="n">
        <f aca="false">E38*$B$5*(1+$B$6)</f>
        <v>41600</v>
      </c>
      <c r="G38" s="14" t="n">
        <f aca="false">F38*$B$7</f>
        <v>104000</v>
      </c>
      <c r="H38" s="14" t="n">
        <f aca="false">G38-F38</f>
        <v>62400</v>
      </c>
      <c r="I38" s="15" t="n">
        <f aca="false">H38/G38</f>
        <v>0.6</v>
      </c>
      <c r="J38" s="14"/>
      <c r="K38" s="17" t="s">
        <v>74</v>
      </c>
    </row>
    <row r="39" customFormat="false" ht="15" hidden="false" customHeight="false" outlineLevel="0" collapsed="false">
      <c r="A39" s="18" t="s">
        <v>80</v>
      </c>
      <c r="B39" s="19" t="s">
        <v>81</v>
      </c>
      <c r="C39" s="20" t="n">
        <v>100</v>
      </c>
      <c r="D39" s="28" t="s">
        <v>74</v>
      </c>
      <c r="E39" s="21" t="n">
        <v>152</v>
      </c>
      <c r="F39" s="22" t="n">
        <f aca="false">E39*$B$5*(1+$B$6)</f>
        <v>197600</v>
      </c>
      <c r="G39" s="22" t="n">
        <f aca="false">F39*$B$7</f>
        <v>494000</v>
      </c>
      <c r="H39" s="22" t="n">
        <f aca="false">G39-F39</f>
        <v>296400</v>
      </c>
      <c r="I39" s="23" t="n">
        <f aca="false">H39/G39</f>
        <v>0.6</v>
      </c>
      <c r="J39" s="22"/>
      <c r="K39" s="25" t="s">
        <v>82</v>
      </c>
    </row>
    <row r="40" customFormat="false" ht="15" hidden="false" customHeight="false" outlineLevel="0" collapsed="false">
      <c r="A40" s="4" t="s">
        <v>80</v>
      </c>
      <c r="B40" s="10" t="s">
        <v>83</v>
      </c>
      <c r="C40" s="11" t="n">
        <v>100</v>
      </c>
      <c r="D40" s="28" t="s">
        <v>74</v>
      </c>
      <c r="E40" s="13" t="n">
        <v>190</v>
      </c>
      <c r="F40" s="14" t="n">
        <f aca="false">E40*$B$5*(1+$B$6)</f>
        <v>247000</v>
      </c>
      <c r="G40" s="14" t="n">
        <f aca="false">F40*$B$7</f>
        <v>617500</v>
      </c>
      <c r="H40" s="14" t="n">
        <f aca="false">G40-F40</f>
        <v>370500</v>
      </c>
      <c r="I40" s="15" t="n">
        <f aca="false">H40/G40</f>
        <v>0.6</v>
      </c>
      <c r="J40" s="14"/>
      <c r="K40" s="17" t="s">
        <v>84</v>
      </c>
    </row>
    <row r="41" customFormat="false" ht="15" hidden="false" customHeight="false" outlineLevel="0" collapsed="false">
      <c r="A41" s="18" t="s">
        <v>80</v>
      </c>
      <c r="B41" s="19" t="s">
        <v>85</v>
      </c>
      <c r="C41" s="20" t="n">
        <v>50</v>
      </c>
      <c r="D41" s="28" t="s">
        <v>74</v>
      </c>
      <c r="E41" s="21" t="n">
        <v>155</v>
      </c>
      <c r="F41" s="22" t="n">
        <f aca="false">E41*$B$5*(1+$B$6)</f>
        <v>201500</v>
      </c>
      <c r="G41" s="22" t="n">
        <f aca="false">F41*$B$7</f>
        <v>503750</v>
      </c>
      <c r="H41" s="22" t="n">
        <f aca="false">G41-F41</f>
        <v>302250</v>
      </c>
      <c r="I41" s="23" t="n">
        <f aca="false">H41/G41</f>
        <v>0.6</v>
      </c>
      <c r="J41" s="22"/>
      <c r="K41" s="25" t="s">
        <v>84</v>
      </c>
    </row>
    <row r="43" customFormat="false" ht="15" hidden="false" customHeight="false" outlineLevel="0" collapsed="false">
      <c r="A43" s="3" t="s">
        <v>86</v>
      </c>
      <c r="B43" s="3"/>
    </row>
    <row r="44" customFormat="false" ht="15" hidden="false" customHeight="false" outlineLevel="0" collapsed="false">
      <c r="A44" s="4" t="s">
        <v>87</v>
      </c>
      <c r="I44" s="29" t="n">
        <f aca="false">AVERAGE(I10:I41)</f>
        <v>0.6</v>
      </c>
    </row>
    <row r="45" customFormat="false" ht="15" hidden="false" customHeight="false" outlineLevel="0" collapsed="false">
      <c r="A45" s="4" t="s">
        <v>88</v>
      </c>
      <c r="F45" s="30" t="n">
        <f aca="false">SUM(F10:F41)</f>
        <v>2182180</v>
      </c>
    </row>
    <row r="46" customFormat="false" ht="15" hidden="false" customHeight="false" outlineLevel="0" collapsed="false">
      <c r="A46" s="4" t="s">
        <v>89</v>
      </c>
      <c r="H46" s="30" t="n">
        <f aca="false">SUM(H10:H41)</f>
        <v>3273270</v>
      </c>
    </row>
  </sheetData>
  <mergeCells count="7">
    <mergeCell ref="A1:K1"/>
    <mergeCell ref="A2:K2"/>
    <mergeCell ref="A4:C4"/>
    <mergeCell ref="C5:K5"/>
    <mergeCell ref="C6:K6"/>
    <mergeCell ref="C7:K7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1" t="s">
        <v>90</v>
      </c>
    </row>
    <row r="2" customFormat="false" ht="15" hidden="false" customHeight="false" outlineLevel="0" collapsed="false">
      <c r="A2" s="32"/>
    </row>
    <row r="3" customFormat="false" ht="15" hidden="false" customHeight="false" outlineLevel="0" collapsed="false">
      <c r="A3" s="33" t="s">
        <v>91</v>
      </c>
    </row>
    <row r="4" customFormat="false" ht="15" hidden="false" customHeight="false" outlineLevel="0" collapsed="false">
      <c r="A4" s="32" t="s">
        <v>92</v>
      </c>
    </row>
    <row r="5" customFormat="false" ht="23.85" hidden="false" customHeight="false" outlineLevel="0" collapsed="false">
      <c r="A5" s="32" t="s">
        <v>93</v>
      </c>
    </row>
    <row r="6" customFormat="false" ht="15" hidden="false" customHeight="false" outlineLevel="0" collapsed="false">
      <c r="A6" s="32" t="s">
        <v>94</v>
      </c>
    </row>
    <row r="7" customFormat="false" ht="15" hidden="false" customHeight="false" outlineLevel="0" collapsed="false">
      <c r="A7" s="32" t="s">
        <v>95</v>
      </c>
    </row>
    <row r="8" customFormat="false" ht="15" hidden="false" customHeight="false" outlineLevel="0" collapsed="false">
      <c r="A8" s="32"/>
    </row>
    <row r="9" customFormat="false" ht="15" hidden="false" customHeight="false" outlineLevel="0" collapsed="false">
      <c r="A9" s="33" t="s">
        <v>96</v>
      </c>
    </row>
    <row r="10" customFormat="false" ht="23.85" hidden="false" customHeight="false" outlineLevel="0" collapsed="false">
      <c r="A10" s="32" t="s">
        <v>97</v>
      </c>
    </row>
    <row r="11" customFormat="false" ht="23.85" hidden="false" customHeight="false" outlineLevel="0" collapsed="false">
      <c r="A11" s="32" t="s">
        <v>98</v>
      </c>
    </row>
    <row r="12" customFormat="false" ht="15" hidden="false" customHeight="false" outlineLevel="0" collapsed="false">
      <c r="A12" s="32"/>
    </row>
    <row r="13" customFormat="false" ht="15" hidden="false" customHeight="false" outlineLevel="0" collapsed="false">
      <c r="A13" s="33" t="s">
        <v>99</v>
      </c>
    </row>
    <row r="14" customFormat="false" ht="23.85" hidden="false" customHeight="false" outlineLevel="0" collapsed="false">
      <c r="A14" s="32" t="s">
        <v>100</v>
      </c>
    </row>
    <row r="15" customFormat="false" ht="15" hidden="false" customHeight="false" outlineLevel="0" collapsed="false">
      <c r="A15" s="32" t="s">
        <v>101</v>
      </c>
    </row>
    <row r="16" customFormat="false" ht="23.85" hidden="false" customHeight="false" outlineLevel="0" collapsed="false">
      <c r="A16" s="32" t="s">
        <v>102</v>
      </c>
    </row>
    <row r="17" customFormat="false" ht="23.85" hidden="false" customHeight="false" outlineLevel="0" collapsed="false">
      <c r="A17" s="32" t="s">
        <v>103</v>
      </c>
    </row>
    <row r="18" customFormat="false" ht="15" hidden="false" customHeight="false" outlineLevel="0" collapsed="false">
      <c r="A18" s="3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2026-06-23T12:05:18Z</dcterms:created>
  <dc:creator>openpyxl</dc:creator>
  <dc:description/>
  <dc:language>en-US</dc:language>
  <cp:lastModifiedBy/>
  <dcterms:modified xsi:type="dcterms:W3CDTF">2026-06-23T12:05:18Z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